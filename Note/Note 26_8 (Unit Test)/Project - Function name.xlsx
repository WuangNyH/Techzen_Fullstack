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Testcase sample\"/>
    </mc:Choice>
  </mc:AlternateContent>
  <xr:revisionPtr revIDLastSave="0" documentId="13_ncr:1_{893BD245-0E4E-47F7-8EE2-903374898CB2}" xr6:coauthVersionLast="47" xr6:coauthVersionMax="47" xr10:uidLastSave="{00000000-0000-0000-0000-000000000000}"/>
  <bookViews>
    <workbookView xWindow="28680" yWindow="1440" windowWidth="29040" windowHeight="15720" xr2:uid="{00000000-000D-0000-FFFF-FFFF00000000}"/>
  </bookViews>
  <sheets>
    <sheet name="Function name" sheetId="1" r:id="rId1"/>
  </sheets>
  <definedNames>
    <definedName name="Z_2071D62B_76EF_40DC_B888_54D0914196F0_.wvu.FilterData" localSheetId="0" hidden="1">'Function name'!$J$1:$J$10</definedName>
    <definedName name="Z_4DA8C192_8070_4117_8D7A_50501AD94BC8_.wvu.FilterData" localSheetId="0" hidden="1">'Function name'!$K$1:$K$10</definedName>
    <definedName name="Z_97014E18_951F_40DD_A497_8C90E8561F70_.wvu.FilterData" localSheetId="0" hidden="1">'Function name'!$I$1:$I$10</definedName>
  </definedNames>
  <calcPr calcId="191029"/>
  <customWorkbookViews>
    <customWorkbookView name="Quy" guid="{2071D62B-76EF-40DC-B888-54D0914196F0}" maximized="1" windowWidth="0" windowHeight="0" activeSheetId="0"/>
    <customWorkbookView name="Bộ lọc 2" guid="{4DA8C192-8070-4117-8D7A-50501AD94BC8}" maximized="1" windowWidth="0" windowHeight="0" activeSheetId="0"/>
    <customWorkbookView name="Dung mii" guid="{97014E18-951F-40DD-A497-8C90E8561F7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C1" i="1" s="1"/>
  <c r="C6" i="1"/>
  <c r="C5" i="1"/>
  <c r="C4" i="1"/>
  <c r="C3" i="1"/>
  <c r="C2" i="1"/>
  <c r="F4" i="1" l="1"/>
  <c r="F6" i="1"/>
  <c r="F5" i="1"/>
  <c r="C7" i="1"/>
  <c r="F7" i="1" s="1"/>
  <c r="F2" i="1"/>
  <c r="F3" i="1"/>
  <c r="F8" i="1" l="1"/>
  <c r="C8" i="1"/>
</calcChain>
</file>

<file path=xl/sharedStrings.xml><?xml version="1.0" encoding="utf-8"?>
<sst xmlns="http://schemas.openxmlformats.org/spreadsheetml/2006/main" count="24" uniqueCount="24">
  <si>
    <t>Total Test Cases</t>
  </si>
  <si>
    <t>Passed</t>
  </si>
  <si>
    <t>Failed</t>
  </si>
  <si>
    <t>Blocked</t>
  </si>
  <si>
    <t>Can not executed</t>
  </si>
  <si>
    <t>Pending</t>
  </si>
  <si>
    <t xml:space="preserve">Remaning </t>
  </si>
  <si>
    <t>%Passed</t>
  </si>
  <si>
    <t>%Failed</t>
  </si>
  <si>
    <t>%Blocked</t>
  </si>
  <si>
    <t>%Can not executed</t>
  </si>
  <si>
    <t>%Pending</t>
  </si>
  <si>
    <t>%Remaning test case</t>
  </si>
  <si>
    <t>%Overall coverage</t>
  </si>
  <si>
    <t>% Test cases got through</t>
  </si>
  <si>
    <t>Pre-condition</t>
  </si>
  <si>
    <t>Steps (*)</t>
  </si>
  <si>
    <t>Expected results (*)</t>
  </si>
  <si>
    <t>Test Result (*)</t>
  </si>
  <si>
    <t>Tester (*)</t>
  </si>
  <si>
    <t>Executed Date 
(dd/mm/yyyy) (*)</t>
  </si>
  <si>
    <t>Note 
(Test evidence, DefectID, Actual result, Q&amp;A, ....)</t>
  </si>
  <si>
    <t>Desciprions (*)</t>
  </si>
  <si>
    <t>Sub-Desciprions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</si>
</sst>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0"/>
      <color rgb="FF000000"/>
      <name val="Arial"/>
    </font>
    <font>
      <sz val="10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sz val="10"/>
      <color rgb="FF333333"/>
      <name val="Arial"/>
    </font>
    <font>
      <sz val="10"/>
      <name val="Arial"/>
    </font>
    <font>
      <sz val="10"/>
      <color rgb="FF0061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134F5C"/>
        <bgColor rgb="FF134F5C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rgb="FF134F5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10" fontId="1" fillId="2" borderId="3" xfId="0" applyNumberFormat="1" applyFont="1" applyFill="1" applyBorder="1" applyAlignment="1">
      <alignment horizontal="left" vertical="top" wrapText="1"/>
    </xf>
    <xf numFmtId="0" fontId="4" fillId="9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top" wrapText="1"/>
    </xf>
    <xf numFmtId="0" fontId="0" fillId="0" borderId="9" xfId="0" applyBorder="1"/>
    <xf numFmtId="0" fontId="5" fillId="2" borderId="12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7" fillId="10" borderId="1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/>
    </xf>
    <xf numFmtId="164" fontId="6" fillId="0" borderId="12" xfId="0" applyNumberFormat="1" applyFont="1" applyBorder="1" applyAlignment="1">
      <alignment horizontal="center" vertical="top" wrapText="1"/>
    </xf>
    <xf numFmtId="0" fontId="4" fillId="9" borderId="1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1" fillId="3" borderId="10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6" borderId="10" xfId="0" applyFont="1" applyFill="1" applyBorder="1" applyAlignment="1">
      <alignment horizontal="left" vertical="top" wrapText="1"/>
    </xf>
    <xf numFmtId="0" fontId="1" fillId="6" borderId="8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7" borderId="10" xfId="0" applyFont="1" applyFill="1" applyBorder="1" applyAlignment="1">
      <alignment horizontal="left" vertical="top" wrapText="1"/>
    </xf>
    <xf numFmtId="0" fontId="1" fillId="7" borderId="8" xfId="0" applyFont="1" applyFill="1" applyBorder="1" applyAlignment="1">
      <alignment horizontal="left" vertical="top" wrapText="1"/>
    </xf>
    <xf numFmtId="0" fontId="1" fillId="8" borderId="10" xfId="0" applyFont="1" applyFill="1" applyBorder="1" applyAlignment="1">
      <alignment horizontal="left" vertical="top" wrapText="1"/>
    </xf>
    <xf numFmtId="0" fontId="1" fillId="8" borderId="8" xfId="0" applyFont="1" applyFill="1" applyBorder="1" applyAlignment="1">
      <alignment horizontal="left" vertical="top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alignment wrapText="0" shrinkToFit="0"/>
      <border>
        <left/>
        <right/>
        <top/>
        <bottom/>
      </border>
    </dxf>
    <dxf>
      <font>
        <b/>
        <color rgb="FFFFFFFF"/>
      </font>
      <fill>
        <patternFill patternType="solid">
          <fgColor rgb="FF6D9EEB"/>
          <bgColor rgb="FF6D9EEB"/>
        </patternFill>
      </fill>
    </dxf>
    <dxf>
      <font>
        <b/>
        <color rgb="FFFFFFFF"/>
      </font>
      <fill>
        <patternFill patternType="solid">
          <fgColor rgb="FFF6B26B"/>
          <bgColor rgb="FFF6B26B"/>
        </patternFill>
      </fill>
    </dxf>
    <dxf>
      <font>
        <b/>
        <color rgb="FFFFFFFF"/>
      </font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100"/>
    <outlinePr summaryBelow="0" summaryRight="0"/>
  </sheetPr>
  <dimension ref="A1:AA35"/>
  <sheetViews>
    <sheetView showGridLines="0" tabSelected="1" topLeftCell="A2" workbookViewId="0">
      <pane ySplit="8" topLeftCell="A10" activePane="bottomLeft" state="frozen"/>
      <selection activeCell="A9" sqref="A9"/>
      <selection pane="bottomLeft" activeCell="G14" sqref="G14"/>
    </sheetView>
  </sheetViews>
  <sheetFormatPr defaultColWidth="12.5703125" defaultRowHeight="15.75" customHeight="1" x14ac:dyDescent="0.2"/>
  <cols>
    <col min="1" max="1" width="7.42578125" style="7" customWidth="1"/>
    <col min="2" max="2" width="37.42578125" customWidth="1"/>
    <col min="3" max="3" width="17" customWidth="1"/>
    <col min="4" max="4" width="19.7109375" customWidth="1"/>
    <col min="5" max="5" width="10" customWidth="1"/>
    <col min="6" max="6" width="30.5703125" customWidth="1"/>
    <col min="7" max="7" width="41.42578125" customWidth="1"/>
    <col min="8" max="8" width="27.5703125" customWidth="1"/>
    <col min="9" max="9" width="15" style="7" customWidth="1"/>
    <col min="10" max="10" width="14.5703125" customWidth="1"/>
    <col min="11" max="11" width="18.85546875" style="7" customWidth="1"/>
    <col min="12" max="27" width="57.42578125" customWidth="1"/>
  </cols>
  <sheetData>
    <row r="1" spans="1:27" ht="12.75" hidden="1" customHeight="1" x14ac:dyDescent="0.2">
      <c r="A1" s="33"/>
      <c r="B1" s="8" t="s">
        <v>0</v>
      </c>
      <c r="C1" s="15">
        <f>$A$9</f>
        <v>26</v>
      </c>
      <c r="D1" s="16"/>
      <c r="E1" s="16"/>
      <c r="F1" s="16"/>
      <c r="G1" s="16"/>
      <c r="H1" s="16"/>
      <c r="I1" s="26"/>
      <c r="J1" s="4"/>
      <c r="K1" s="29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75" customHeight="1" x14ac:dyDescent="0.2">
      <c r="A2" s="34"/>
      <c r="B2" s="9" t="s">
        <v>1</v>
      </c>
      <c r="C2" s="17">
        <f>COUNTIF($I$10:$I$299,"Passed")</f>
        <v>0</v>
      </c>
      <c r="D2" s="36" t="s">
        <v>7</v>
      </c>
      <c r="E2" s="37"/>
      <c r="F2" s="18">
        <f t="shared" ref="F2:F7" si="0">C2/$C$1</f>
        <v>0</v>
      </c>
      <c r="G2" s="16"/>
      <c r="H2" s="16"/>
      <c r="I2" s="26"/>
      <c r="J2" s="4"/>
      <c r="K2" s="29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2.75" customHeight="1" x14ac:dyDescent="0.2">
      <c r="A3" s="35"/>
      <c r="B3" s="10" t="s">
        <v>2</v>
      </c>
      <c r="C3" s="17">
        <f>COUNTIF($I$10:$I$299,"Failed")</f>
        <v>0</v>
      </c>
      <c r="D3" s="38" t="s">
        <v>8</v>
      </c>
      <c r="E3" s="39"/>
      <c r="F3" s="18">
        <f t="shared" si="0"/>
        <v>0</v>
      </c>
      <c r="G3" s="16"/>
      <c r="H3" s="16"/>
      <c r="I3" s="26"/>
      <c r="J3" s="4"/>
      <c r="K3" s="29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25" customHeight="1" x14ac:dyDescent="0.2">
      <c r="A4" s="1"/>
      <c r="B4" s="11" t="s">
        <v>3</v>
      </c>
      <c r="C4" s="17">
        <f>COUNTIF($I$10:$I$299,"Blocked")</f>
        <v>0</v>
      </c>
      <c r="D4" s="40" t="s">
        <v>9</v>
      </c>
      <c r="E4" s="41"/>
      <c r="F4" s="18">
        <f t="shared" si="0"/>
        <v>0</v>
      </c>
      <c r="G4" s="16"/>
      <c r="H4" s="16"/>
      <c r="I4" s="26"/>
      <c r="J4" s="4"/>
      <c r="K4" s="29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25" customHeight="1" x14ac:dyDescent="0.2">
      <c r="A5" s="1"/>
      <c r="B5" s="12" t="s">
        <v>4</v>
      </c>
      <c r="C5" s="17">
        <f>COUNTIF($I$10:$I$299,"Can not executed")</f>
        <v>0</v>
      </c>
      <c r="D5" s="42" t="s">
        <v>10</v>
      </c>
      <c r="E5" s="43"/>
      <c r="F5" s="18">
        <f t="shared" si="0"/>
        <v>0</v>
      </c>
      <c r="G5" s="16"/>
      <c r="H5" s="16"/>
      <c r="I5" s="26"/>
      <c r="J5" s="4"/>
      <c r="K5" s="29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2">
      <c r="A6" s="1"/>
      <c r="B6" s="13" t="s">
        <v>5</v>
      </c>
      <c r="C6" s="17">
        <f>COUNTIF($I$10:$I$299,"Pending")</f>
        <v>0</v>
      </c>
      <c r="D6" s="44" t="s">
        <v>11</v>
      </c>
      <c r="E6" s="45"/>
      <c r="F6" s="18">
        <f t="shared" si="0"/>
        <v>0</v>
      </c>
      <c r="G6" s="16"/>
      <c r="H6" s="16"/>
      <c r="I6" s="26"/>
      <c r="J6" s="4"/>
      <c r="K6" s="29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25" customHeight="1" x14ac:dyDescent="0.2">
      <c r="A7" s="1"/>
      <c r="B7" s="14" t="s">
        <v>6</v>
      </c>
      <c r="C7" s="17">
        <f>C1-SUM(C2:C6)</f>
        <v>26</v>
      </c>
      <c r="D7" s="46" t="s">
        <v>12</v>
      </c>
      <c r="E7" s="47"/>
      <c r="F7" s="18">
        <f t="shared" si="0"/>
        <v>1</v>
      </c>
      <c r="G7" s="3"/>
      <c r="H7" s="2"/>
      <c r="I7" s="27"/>
      <c r="J7" s="4"/>
      <c r="K7" s="29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25" customHeight="1" x14ac:dyDescent="0.2">
      <c r="A8" s="1"/>
      <c r="B8" s="13" t="s">
        <v>13</v>
      </c>
      <c r="C8" s="18">
        <f>SUM(F2:F3)</f>
        <v>0</v>
      </c>
      <c r="D8" s="48" t="s">
        <v>14</v>
      </c>
      <c r="E8" s="49"/>
      <c r="F8" s="18">
        <f>SUM(F2:F7)</f>
        <v>1</v>
      </c>
      <c r="G8" s="3"/>
      <c r="H8" s="2"/>
      <c r="I8" s="27"/>
      <c r="J8" s="4"/>
      <c r="K8" s="29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s="25" customFormat="1" ht="38.25" customHeight="1" x14ac:dyDescent="0.2">
      <c r="A9" s="19">
        <f>COUNT(A10:A299)</f>
        <v>26</v>
      </c>
      <c r="B9" s="19" t="s">
        <v>15</v>
      </c>
      <c r="C9" s="50" t="s">
        <v>22</v>
      </c>
      <c r="D9" s="51"/>
      <c r="E9" s="50" t="s">
        <v>23</v>
      </c>
      <c r="F9" s="51"/>
      <c r="G9" s="19" t="s">
        <v>16</v>
      </c>
      <c r="H9" s="19" t="s">
        <v>17</v>
      </c>
      <c r="I9" s="19" t="s">
        <v>18</v>
      </c>
      <c r="J9" s="19" t="s">
        <v>19</v>
      </c>
      <c r="K9" s="19" t="s">
        <v>20</v>
      </c>
      <c r="L9" s="31" t="s">
        <v>21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s="21" customFormat="1" ht="36.75" customHeight="1" x14ac:dyDescent="0.2">
      <c r="A10" s="22">
        <v>1</v>
      </c>
      <c r="B10" s="32"/>
      <c r="C10" s="52"/>
      <c r="D10" s="53"/>
      <c r="E10" s="52"/>
      <c r="F10" s="53"/>
      <c r="G10" s="23"/>
      <c r="H10" s="23"/>
      <c r="I10" s="28"/>
      <c r="J10" s="23"/>
      <c r="K10" s="30"/>
      <c r="L10" s="23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s="21" customFormat="1" ht="36.75" customHeight="1" x14ac:dyDescent="0.2">
      <c r="A11" s="22">
        <v>2</v>
      </c>
      <c r="B11" s="32"/>
      <c r="C11" s="52"/>
      <c r="D11" s="53"/>
      <c r="E11" s="52"/>
      <c r="F11" s="53"/>
      <c r="G11" s="23"/>
      <c r="H11" s="23"/>
      <c r="I11" s="28"/>
      <c r="J11" s="23"/>
      <c r="K11" s="30"/>
      <c r="L11" s="23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s="21" customFormat="1" ht="36.75" customHeight="1" x14ac:dyDescent="0.2">
      <c r="A12" s="22">
        <v>3</v>
      </c>
      <c r="B12" s="32"/>
      <c r="C12" s="52"/>
      <c r="D12" s="53"/>
      <c r="E12" s="52"/>
      <c r="F12" s="53"/>
      <c r="G12" s="23"/>
      <c r="H12" s="23"/>
      <c r="I12" s="28"/>
      <c r="J12" s="23"/>
      <c r="K12" s="30"/>
      <c r="L12" s="23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s="21" customFormat="1" ht="36.75" customHeight="1" x14ac:dyDescent="0.2">
      <c r="A13" s="22">
        <v>4</v>
      </c>
      <c r="B13" s="32"/>
      <c r="C13" s="52"/>
      <c r="D13" s="53"/>
      <c r="E13" s="52"/>
      <c r="F13" s="53"/>
      <c r="G13" s="23"/>
      <c r="H13" s="23"/>
      <c r="I13" s="28"/>
      <c r="J13" s="23"/>
      <c r="K13" s="30"/>
      <c r="L13" s="23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s="21" customFormat="1" ht="36.75" customHeight="1" x14ac:dyDescent="0.2">
      <c r="A14" s="22">
        <v>5</v>
      </c>
      <c r="B14" s="32"/>
      <c r="C14" s="52"/>
      <c r="D14" s="53"/>
      <c r="E14" s="52"/>
      <c r="F14" s="53"/>
      <c r="G14" s="23"/>
      <c r="H14" s="23"/>
      <c r="I14" s="28"/>
      <c r="J14" s="23"/>
      <c r="K14" s="30"/>
      <c r="L14" s="23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s="21" customFormat="1" ht="36.75" customHeight="1" x14ac:dyDescent="0.2">
      <c r="A15" s="22">
        <v>6</v>
      </c>
      <c r="B15" s="32"/>
      <c r="C15" s="52"/>
      <c r="D15" s="53"/>
      <c r="E15" s="52"/>
      <c r="F15" s="53"/>
      <c r="G15" s="23"/>
      <c r="H15" s="23"/>
      <c r="I15" s="28"/>
      <c r="J15" s="23"/>
      <c r="K15" s="30"/>
      <c r="L15" s="23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s="21" customFormat="1" ht="36.75" customHeight="1" x14ac:dyDescent="0.2">
      <c r="A16" s="22">
        <v>7</v>
      </c>
      <c r="B16" s="32"/>
      <c r="C16" s="52"/>
      <c r="D16" s="53"/>
      <c r="E16" s="52"/>
      <c r="F16" s="53"/>
      <c r="G16" s="23"/>
      <c r="H16" s="23"/>
      <c r="I16" s="28"/>
      <c r="J16" s="23"/>
      <c r="K16" s="30"/>
      <c r="L16" s="23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s="21" customFormat="1" ht="36.75" customHeight="1" x14ac:dyDescent="0.2">
      <c r="A17" s="22">
        <v>8</v>
      </c>
      <c r="B17" s="32"/>
      <c r="C17" s="52"/>
      <c r="D17" s="53"/>
      <c r="E17" s="52"/>
      <c r="F17" s="53"/>
      <c r="G17" s="23"/>
      <c r="H17" s="23"/>
      <c r="I17" s="28"/>
      <c r="J17" s="23"/>
      <c r="K17" s="30"/>
      <c r="L17" s="23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s="21" customFormat="1" ht="36.75" customHeight="1" x14ac:dyDescent="0.2">
      <c r="A18" s="22">
        <v>9</v>
      </c>
      <c r="B18" s="32"/>
      <c r="C18" s="52"/>
      <c r="D18" s="53"/>
      <c r="E18" s="52"/>
      <c r="F18" s="53"/>
      <c r="G18" s="23"/>
      <c r="H18" s="23"/>
      <c r="I18" s="28"/>
      <c r="J18" s="23"/>
      <c r="K18" s="30"/>
      <c r="L18" s="23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s="21" customFormat="1" ht="36.75" customHeight="1" x14ac:dyDescent="0.2">
      <c r="A19" s="22">
        <v>10</v>
      </c>
      <c r="B19" s="32"/>
      <c r="C19" s="52"/>
      <c r="D19" s="53"/>
      <c r="E19" s="52"/>
      <c r="F19" s="53"/>
      <c r="G19" s="23"/>
      <c r="H19" s="23"/>
      <c r="I19" s="28"/>
      <c r="J19" s="23"/>
      <c r="K19" s="30"/>
      <c r="L19" s="23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s="21" customFormat="1" ht="36.75" customHeight="1" x14ac:dyDescent="0.2">
      <c r="A20" s="22">
        <v>11</v>
      </c>
      <c r="B20" s="32"/>
      <c r="C20" s="52"/>
      <c r="D20" s="53"/>
      <c r="E20" s="52"/>
      <c r="F20" s="53"/>
      <c r="G20" s="23"/>
      <c r="H20" s="23"/>
      <c r="I20" s="28"/>
      <c r="J20" s="23"/>
      <c r="K20" s="30"/>
      <c r="L20" s="2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s="21" customFormat="1" ht="36.75" customHeight="1" x14ac:dyDescent="0.2">
      <c r="A21" s="22">
        <v>12</v>
      </c>
      <c r="B21" s="32"/>
      <c r="C21" s="52"/>
      <c r="D21" s="53"/>
      <c r="E21" s="52"/>
      <c r="F21" s="53"/>
      <c r="G21" s="23"/>
      <c r="H21" s="23"/>
      <c r="I21" s="28"/>
      <c r="J21" s="23"/>
      <c r="K21" s="30"/>
      <c r="L21" s="23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s="21" customFormat="1" ht="36.75" customHeight="1" x14ac:dyDescent="0.2">
      <c r="A22" s="22">
        <v>13</v>
      </c>
      <c r="B22" s="32"/>
      <c r="C22" s="52"/>
      <c r="D22" s="53"/>
      <c r="E22" s="52"/>
      <c r="F22" s="53"/>
      <c r="G22" s="23"/>
      <c r="H22" s="23"/>
      <c r="I22" s="28"/>
      <c r="J22" s="23"/>
      <c r="K22" s="30"/>
      <c r="L22" s="23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s="21" customFormat="1" ht="36.75" customHeight="1" x14ac:dyDescent="0.2">
      <c r="A23" s="22">
        <v>14</v>
      </c>
      <c r="B23" s="32"/>
      <c r="C23" s="52"/>
      <c r="D23" s="53"/>
      <c r="E23" s="52"/>
      <c r="F23" s="53"/>
      <c r="G23" s="23"/>
      <c r="H23" s="23"/>
      <c r="I23" s="28"/>
      <c r="J23" s="23"/>
      <c r="K23" s="30"/>
      <c r="L23" s="23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s="21" customFormat="1" ht="36.75" customHeight="1" x14ac:dyDescent="0.2">
      <c r="A24" s="22">
        <v>15</v>
      </c>
      <c r="B24" s="32"/>
      <c r="C24" s="52"/>
      <c r="D24" s="53"/>
      <c r="E24" s="52"/>
      <c r="F24" s="53"/>
      <c r="G24" s="23"/>
      <c r="H24" s="23"/>
      <c r="I24" s="28"/>
      <c r="J24" s="23"/>
      <c r="K24" s="30"/>
      <c r="L24" s="23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s="21" customFormat="1" ht="36.75" customHeight="1" x14ac:dyDescent="0.2">
      <c r="A25" s="22">
        <v>16</v>
      </c>
      <c r="B25" s="32"/>
      <c r="C25" s="52"/>
      <c r="D25" s="53"/>
      <c r="E25" s="52"/>
      <c r="F25" s="53"/>
      <c r="G25" s="23"/>
      <c r="H25" s="23"/>
      <c r="I25" s="28"/>
      <c r="J25" s="23"/>
      <c r="K25" s="30"/>
      <c r="L25" s="23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s="21" customFormat="1" ht="36.75" customHeight="1" x14ac:dyDescent="0.2">
      <c r="A26" s="22">
        <v>17</v>
      </c>
      <c r="B26" s="32"/>
      <c r="C26" s="52"/>
      <c r="D26" s="53"/>
      <c r="E26" s="52"/>
      <c r="F26" s="53"/>
      <c r="G26" s="23"/>
      <c r="H26" s="23"/>
      <c r="I26" s="28"/>
      <c r="J26" s="23"/>
      <c r="K26" s="30"/>
      <c r="L26" s="23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s="21" customFormat="1" ht="36.75" customHeight="1" x14ac:dyDescent="0.2">
      <c r="A27" s="22">
        <v>18</v>
      </c>
      <c r="B27" s="32"/>
      <c r="C27" s="52"/>
      <c r="D27" s="53"/>
      <c r="E27" s="52"/>
      <c r="F27" s="53"/>
      <c r="G27" s="23"/>
      <c r="H27" s="23"/>
      <c r="I27" s="28"/>
      <c r="J27" s="23"/>
      <c r="K27" s="30"/>
      <c r="L27" s="23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s="21" customFormat="1" ht="36.75" customHeight="1" x14ac:dyDescent="0.2">
      <c r="A28" s="22">
        <v>19</v>
      </c>
      <c r="B28" s="32"/>
      <c r="C28" s="52"/>
      <c r="D28" s="53"/>
      <c r="E28" s="52"/>
      <c r="F28" s="53"/>
      <c r="G28" s="23"/>
      <c r="H28" s="23"/>
      <c r="I28" s="28"/>
      <c r="J28" s="23"/>
      <c r="K28" s="30"/>
      <c r="L28" s="23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s="21" customFormat="1" ht="36.75" customHeight="1" x14ac:dyDescent="0.2">
      <c r="A29" s="22">
        <v>20</v>
      </c>
      <c r="B29" s="32"/>
      <c r="C29" s="52"/>
      <c r="D29" s="53"/>
      <c r="E29" s="52"/>
      <c r="F29" s="53"/>
      <c r="G29" s="23"/>
      <c r="H29" s="23"/>
      <c r="I29" s="28"/>
      <c r="J29" s="23"/>
      <c r="K29" s="30"/>
      <c r="L29" s="23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s="21" customFormat="1" ht="36.75" customHeight="1" x14ac:dyDescent="0.2">
      <c r="A30" s="22">
        <v>21</v>
      </c>
      <c r="B30" s="32"/>
      <c r="C30" s="52"/>
      <c r="D30" s="53"/>
      <c r="E30" s="52"/>
      <c r="F30" s="53"/>
      <c r="G30" s="23"/>
      <c r="H30" s="23"/>
      <c r="I30" s="28"/>
      <c r="J30" s="23"/>
      <c r="K30" s="30"/>
      <c r="L30" s="23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s="21" customFormat="1" ht="36.75" customHeight="1" x14ac:dyDescent="0.2">
      <c r="A31" s="22">
        <v>22</v>
      </c>
      <c r="B31" s="32"/>
      <c r="C31" s="52"/>
      <c r="D31" s="53"/>
      <c r="E31" s="52"/>
      <c r="F31" s="53"/>
      <c r="G31" s="23"/>
      <c r="H31" s="23"/>
      <c r="I31" s="28"/>
      <c r="J31" s="23"/>
      <c r="K31" s="30"/>
      <c r="L31" s="23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s="21" customFormat="1" ht="36.75" customHeight="1" x14ac:dyDescent="0.2">
      <c r="A32" s="22">
        <v>23</v>
      </c>
      <c r="B32" s="32"/>
      <c r="C32" s="52"/>
      <c r="D32" s="53"/>
      <c r="E32" s="52"/>
      <c r="F32" s="53"/>
      <c r="G32" s="23"/>
      <c r="H32" s="23"/>
      <c r="I32" s="28"/>
      <c r="J32" s="23"/>
      <c r="K32" s="30"/>
      <c r="L32" s="23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s="21" customFormat="1" ht="36.75" customHeight="1" x14ac:dyDescent="0.2">
      <c r="A33" s="22">
        <v>24</v>
      </c>
      <c r="B33" s="32"/>
      <c r="C33" s="52"/>
      <c r="D33" s="53"/>
      <c r="E33" s="52"/>
      <c r="F33" s="53"/>
      <c r="G33" s="23"/>
      <c r="H33" s="23"/>
      <c r="I33" s="28"/>
      <c r="J33" s="23"/>
      <c r="K33" s="30"/>
      <c r="L33" s="23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s="21" customFormat="1" ht="36.75" customHeight="1" x14ac:dyDescent="0.2">
      <c r="A34" s="22">
        <v>25</v>
      </c>
      <c r="B34" s="32"/>
      <c r="C34" s="52"/>
      <c r="D34" s="53"/>
      <c r="E34" s="52"/>
      <c r="F34" s="53"/>
      <c r="G34" s="23"/>
      <c r="H34" s="23"/>
      <c r="I34" s="28"/>
      <c r="J34" s="23"/>
      <c r="K34" s="30"/>
      <c r="L34" s="23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s="21" customFormat="1" ht="36.75" customHeight="1" x14ac:dyDescent="0.2">
      <c r="A35" s="22">
        <v>26</v>
      </c>
      <c r="B35" s="32"/>
      <c r="C35" s="52"/>
      <c r="D35" s="53"/>
      <c r="E35" s="52"/>
      <c r="F35" s="53"/>
      <c r="G35" s="23"/>
      <c r="H35" s="23"/>
      <c r="I35" s="28"/>
      <c r="J35" s="23"/>
      <c r="K35" s="30"/>
      <c r="L35" s="23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</sheetData>
  <customSheetViews>
    <customSheetView guid="{4DA8C192-8070-4117-8D7A-50501AD94BC8}" filter="1" showAutoFilter="1">
      <pageMargins left="0.7" right="0.7" top="0.75" bottom="0.75" header="0.3" footer="0.3"/>
      <autoFilter ref="M1:M46" xr:uid="{ACCD975F-3E95-43A9-9F53-7D7BD16C8498}"/>
    </customSheetView>
    <customSheetView guid="{97014E18-951F-40DD-A497-8C90E8561F70}" filter="1" showAutoFilter="1">
      <pageMargins left="0.7" right="0.7" top="0.75" bottom="0.75" header="0.3" footer="0.3"/>
      <autoFilter ref="K1:K46" xr:uid="{97F87DF8-0E59-4A55-BFCD-CA19DB4EA2EA}"/>
    </customSheetView>
    <customSheetView guid="{2071D62B-76EF-40DC-B888-54D0914196F0}" filter="1" showAutoFilter="1">
      <pageMargins left="0.7" right="0.7" top="0.75" bottom="0.75" header="0.3" footer="0.3"/>
      <autoFilter ref="L1:L46" xr:uid="{84F7F09B-2EF4-4BB0-B1E5-E0E2149FC37F}">
        <filterColumn colId="0">
          <filters>
            <filter val="NhanPV"/>
          </filters>
        </filterColumn>
      </autoFilter>
    </customSheetView>
  </customSheetViews>
  <mergeCells count="62">
    <mergeCell ref="C33:D33"/>
    <mergeCell ref="E33:F33"/>
    <mergeCell ref="C34:D34"/>
    <mergeCell ref="E34:F34"/>
    <mergeCell ref="C35:D35"/>
    <mergeCell ref="E35:F35"/>
    <mergeCell ref="C32:D32"/>
    <mergeCell ref="E32:F32"/>
    <mergeCell ref="C29:D29"/>
    <mergeCell ref="E29:F29"/>
    <mergeCell ref="C30:D30"/>
    <mergeCell ref="E30:F30"/>
    <mergeCell ref="C31:D31"/>
    <mergeCell ref="E31:F31"/>
    <mergeCell ref="C26:D26"/>
    <mergeCell ref="E26:F26"/>
    <mergeCell ref="C27:D27"/>
    <mergeCell ref="E27:F27"/>
    <mergeCell ref="C28:D28"/>
    <mergeCell ref="E28:F28"/>
    <mergeCell ref="E23:F23"/>
    <mergeCell ref="C24:D24"/>
    <mergeCell ref="E24:F24"/>
    <mergeCell ref="C25:D25"/>
    <mergeCell ref="E25:F25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E9:F9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22:D22"/>
    <mergeCell ref="E22:F22"/>
    <mergeCell ref="C23:D23"/>
    <mergeCell ref="A1:A3"/>
    <mergeCell ref="D2:E2"/>
    <mergeCell ref="D3:E3"/>
    <mergeCell ref="D4:E4"/>
    <mergeCell ref="D5:E5"/>
    <mergeCell ref="D6:E6"/>
    <mergeCell ref="D7:E7"/>
    <mergeCell ref="D8:E8"/>
    <mergeCell ref="C9:D9"/>
    <mergeCell ref="C10:D10"/>
  </mergeCells>
  <conditionalFormatting sqref="A10:C35 E10:E35 G10:AA35">
    <cfRule type="expression" dxfId="6" priority="1">
      <formula>INDIRECT("b"&amp;ROW())="h1"</formula>
    </cfRule>
    <cfRule type="expression" dxfId="5" priority="2">
      <formula>INDIRECT("b"&amp;ROW())="h2"</formula>
    </cfRule>
    <cfRule type="expression" dxfId="4" priority="3">
      <formula>INDIRECT("b"&amp;ROW())="h3"</formula>
    </cfRule>
  </conditionalFormatting>
  <conditionalFormatting sqref="I10:I35">
    <cfRule type="cellIs" dxfId="3" priority="4" operator="equal">
      <formula>"Passed"</formula>
    </cfRule>
    <cfRule type="cellIs" dxfId="2" priority="5" operator="equal">
      <formula>"Can not executed"</formula>
    </cfRule>
    <cfRule type="cellIs" dxfId="1" priority="6" operator="equal">
      <formula>"Blocked"</formula>
    </cfRule>
    <cfRule type="cellIs" dxfId="0" priority="7" operator="equal">
      <formula>"Failed"</formula>
    </cfRule>
  </conditionalFormatting>
  <dataValidations count="1">
    <dataValidation type="list" allowBlank="1" sqref="I10:I35" xr:uid="{00000000-0002-0000-0000-000000000000}">
      <formula1>"Passed,Failed,Blocked,Pending,Can not executed"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Thi Phung</dc:creator>
  <cp:lastModifiedBy>common dev4</cp:lastModifiedBy>
  <dcterms:created xsi:type="dcterms:W3CDTF">2025-08-22T02:59:33Z</dcterms:created>
  <dcterms:modified xsi:type="dcterms:W3CDTF">2025-08-25T09:39:15Z</dcterms:modified>
</cp:coreProperties>
</file>