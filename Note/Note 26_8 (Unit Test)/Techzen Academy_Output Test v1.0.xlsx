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Quan điểm test" sheetId="1" state="visible" r:id="rId3"/>
    <sheet name="Tiến độ Test" sheetId="2" state="visible" r:id="rId4"/>
    <sheet name="Danh sách bu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<sst xmlns="http://schemas.openxmlformats.org/spreadsheetml/2006/main" count="173" uniqueCount="141">
  <si>
    <t xml:space="preserve">No.</t>
  </si>
  <si>
    <t xml:space="preserve">Categoty</t>
  </si>
  <si>
    <t xml:space="preserve">Description</t>
  </si>
  <si>
    <t xml:space="preserve">Note</t>
  </si>
  <si>
    <t xml:space="preserve">UI</t>
  </si>
  <si>
    <t xml:space="preserve">Hiển thị giống design</t>
  </si>
  <si>
    <t xml:space="preserve">Cân đối ko xô lệch</t>
  </si>
  <si>
    <t xml:space="preserve">Hiển thị tốt trên các trình duyệt  Chrome, Firefox, Edge, Safari</t>
  </si>
  <si>
    <t xml:space="preserve">Hiển thị tốt dưới mobile,Tablet, ipad  </t>
  </si>
  <si>
    <t xml:space="preserve">Phiên bản này chưa hỗ trợ</t>
  </si>
  <si>
    <t xml:space="preserve">Zoom 50-150% vẫn hiển thị được ko bị đè, khuất</t>
  </si>
  <si>
    <t xml:space="preserve">Màu sắc, kích thước, kiểu hiển thị đồng bộ với các màn hình khác</t>
  </si>
  <si>
    <t xml:space="preserve">Hình ảnh hiển thị tốt ko bị vỡ hay mờ</t>
  </si>
  <si>
    <t xml:space="preserve">Title luôn được Highligh so với nội dung</t>
  </si>
  <si>
    <t xml:space="preserve">Con trỏ chuột hiển thị chính xác khi hover (bàn tay, mũi tên)</t>
  </si>
  <si>
    <t xml:space="preserve">Các button có trạng thái chuyển màu khi hover</t>
  </si>
  <si>
    <t xml:space="preserve">Khởi tạo</t>
  </si>
  <si>
    <t xml:space="preserve">Dữ liệu hiển thị đầy đủ và đúng</t>
  </si>
  <si>
    <t xml:space="preserve">UX</t>
  </si>
  <si>
    <t xml:space="preserve">Giao diện trực quan, dễ hiểu</t>
  </si>
  <si>
    <t xml:space="preserve">Nội dung ko sai chính tả</t>
  </si>
  <si>
    <t xml:space="preserve">Nội dung dễ hiểu, ngắt dòng hợp lý</t>
  </si>
  <si>
    <t xml:space="preserve">Các thao tác để hoàn thành được tác vụ cần nhanh gọn tối ưu step</t>
  </si>
  <si>
    <t xml:space="preserve">Hiệu ứng chuyển hướng và lướt ko bị giật lag</t>
  </si>
  <si>
    <t xml:space="preserve">Logic</t>
  </si>
  <si>
    <t xml:space="preserve">Các tính năng có thể dùng được (Thông luồng nghiệp vụ)</t>
  </si>
  <si>
    <t xml:space="preserve">Điều hướng đúng</t>
  </si>
  <si>
    <t xml:space="preserve">Các button hoạt động đúng</t>
  </si>
  <si>
    <t xml:space="preserve">Ko xảy ra vấn đề bất thường khi Click nhiều lần liên tục vào button </t>
  </si>
  <si>
    <t xml:space="preserve">Đa ngôn ngữ</t>
  </si>
  <si>
    <t xml:space="preserve">Data Hiển thị đúng như ngôn ngữ được chọn</t>
  </si>
  <si>
    <t xml:space="preserve">x`</t>
  </si>
  <si>
    <t xml:space="preserve">URL</t>
  </si>
  <si>
    <t xml:space="preserve">https://techzen.academy/courses</t>
  </si>
  <si>
    <t xml:space="preserve">Open</t>
  </si>
  <si>
    <t xml:space="preserve">Doing</t>
  </si>
  <si>
    <t xml:space="preserve">Waiting fix bug</t>
  </si>
  <si>
    <t xml:space="preserve">Done</t>
  </si>
  <si>
    <t xml:space="preserve">OK</t>
  </si>
  <si>
    <t xml:space="preserve">NG</t>
  </si>
  <si>
    <t xml:space="preserve">Design</t>
  </si>
  <si>
    <t xml:space="preserve">https://www.figma.com/design/hgi2sTL0dMowaRXViIDP8f/TZ--ACADEMY-website----2025?node-id=9915-16998&amp;m=dev</t>
  </si>
  <si>
    <t xml:space="preserve">ID MH</t>
  </si>
  <si>
    <t xml:space="preserve">Category</t>
  </si>
  <si>
    <t xml:space="preserve">TestResult (Chrome)</t>
  </si>
  <si>
    <t xml:space="preserve">Pic</t>
  </si>
  <si>
    <t xml:space="preserve">Day</t>
  </si>
  <si>
    <t xml:space="preserve">Cmt</t>
  </si>
  <si>
    <t xml:space="preserve">Unhandled Bug</t>
  </si>
  <si>
    <t xml:space="preserve">UI- Firefox</t>
  </si>
  <si>
    <t xml:space="preserve">UI- Edge</t>
  </si>
  <si>
    <t xml:space="preserve">UI- Safari</t>
  </si>
  <si>
    <t xml:space="preserve">MH001</t>
  </si>
  <si>
    <t xml:space="preserve">Giới thiệu</t>
  </si>
  <si>
    <t xml:space="preserve">Uyên</t>
  </si>
  <si>
    <t xml:space="preserve">MH002</t>
  </si>
  <si>
    <t xml:space="preserve">Khóa học</t>
  </si>
  <si>
    <t xml:space="preserve">MH003</t>
  </si>
  <si>
    <t xml:space="preserve">Lịch khai giảng</t>
  </si>
  <si>
    <t xml:space="preserve">MH004</t>
  </si>
  <si>
    <t xml:space="preserve">Đối tác</t>
  </si>
  <si>
    <t xml:space="preserve">MH005</t>
  </si>
  <si>
    <t xml:space="preserve">MH006</t>
  </si>
  <si>
    <t xml:space="preserve">Học viên</t>
  </si>
  <si>
    <t xml:space="preserve">Vân Anh</t>
  </si>
  <si>
    <t xml:space="preserve">MH007</t>
  </si>
  <si>
    <t xml:space="preserve">Giảng viên</t>
  </si>
  <si>
    <t xml:space="preserve">MH008</t>
  </si>
  <si>
    <t xml:space="preserve">Blog</t>
  </si>
  <si>
    <t xml:space="preserve">MH009</t>
  </si>
  <si>
    <t xml:space="preserve">Header</t>
  </si>
  <si>
    <t xml:space="preserve">MH010</t>
  </si>
  <si>
    <t xml:space="preserve">Footer</t>
  </si>
  <si>
    <t xml:space="preserve">MH011</t>
  </si>
  <si>
    <t xml:space="preserve">Đăng ký nhận tư vấn</t>
  </si>
  <si>
    <t xml:space="preserve">Minh Quân </t>
  </si>
  <si>
    <t xml:space="preserve">Remaining</t>
  </si>
  <si>
    <t xml:space="preserve">Count</t>
  </si>
  <si>
    <t xml:space="preserve">HotFix</t>
  </si>
  <si>
    <t xml:space="preserve">High</t>
  </si>
  <si>
    <t xml:space="preserve">Normal</t>
  </si>
  <si>
    <t xml:space="preserve">Low</t>
  </si>
  <si>
    <t xml:space="preserve">Waiting</t>
  </si>
  <si>
    <t xml:space="preserve">Ready for test</t>
  </si>
  <si>
    <t xml:space="preserve">ReOpen</t>
  </si>
  <si>
    <t xml:space="preserve">Cancel</t>
  </si>
  <si>
    <t xml:space="preserve">Reporter</t>
  </si>
  <si>
    <t xml:space="preserve">Lam</t>
  </si>
  <si>
    <t xml:space="preserve">ID_Bug</t>
  </si>
  <si>
    <t xml:space="preserve">ID MH (Auto fill)</t>
  </si>
  <si>
    <t xml:space="preserve">Category (Selelect)</t>
  </si>
  <si>
    <t xml:space="preserve">Attachment</t>
  </si>
  <si>
    <t xml:space="preserve">Priority</t>
  </si>
  <si>
    <t xml:space="preserve">Result</t>
  </si>
  <si>
    <t xml:space="preserve">PIC</t>
  </si>
  <si>
    <t xml:space="preserve">Comp. Date</t>
  </si>
  <si>
    <t xml:space="preserve">Remark</t>
  </si>
  <si>
    <t xml:space="preserve">BUG001</t>
  </si>
  <si>
    <t xml:space="preserve">BUG002</t>
  </si>
  <si>
    <t xml:space="preserve">BUG003</t>
  </si>
  <si>
    <t xml:space="preserve">BUG004</t>
  </si>
  <si>
    <t xml:space="preserve">BUG005</t>
  </si>
  <si>
    <t xml:space="preserve">BUG006</t>
  </si>
  <si>
    <t xml:space="preserve">BUG007</t>
  </si>
  <si>
    <t xml:space="preserve">BUG008</t>
  </si>
  <si>
    <t xml:space="preserve">BUG009</t>
  </si>
  <si>
    <t xml:space="preserve">BUG010</t>
  </si>
  <si>
    <t xml:space="preserve">BUG011</t>
  </si>
  <si>
    <t xml:space="preserve">BUG012</t>
  </si>
  <si>
    <t xml:space="preserve">BUG013</t>
  </si>
  <si>
    <t xml:space="preserve">BUG014</t>
  </si>
  <si>
    <t xml:space="preserve">BUG015</t>
  </si>
  <si>
    <t xml:space="preserve">BUG016</t>
  </si>
  <si>
    <t xml:space="preserve">BUG017</t>
  </si>
  <si>
    <t xml:space="preserve">BUG018</t>
  </si>
  <si>
    <t xml:space="preserve">BUG019</t>
  </si>
  <si>
    <t xml:space="preserve">BUG020</t>
  </si>
  <si>
    <t xml:space="preserve">BUG021</t>
  </si>
  <si>
    <t xml:space="preserve">BUG022</t>
  </si>
  <si>
    <t xml:space="preserve">BUG023</t>
  </si>
  <si>
    <t xml:space="preserve">BUG024</t>
  </si>
  <si>
    <t xml:space="preserve">BUG025</t>
  </si>
  <si>
    <t xml:space="preserve">BUG026</t>
  </si>
  <si>
    <t xml:space="preserve">BUG027</t>
  </si>
  <si>
    <t xml:space="preserve">BUG028</t>
  </si>
  <si>
    <t xml:space="preserve">BUG029</t>
  </si>
  <si>
    <t xml:space="preserve">BUG030</t>
  </si>
  <si>
    <t xml:space="preserve">BUG031</t>
  </si>
  <si>
    <t xml:space="preserve">BUG032</t>
  </si>
  <si>
    <t xml:space="preserve">BUG033</t>
  </si>
  <si>
    <t xml:space="preserve">BUG034</t>
  </si>
  <si>
    <t xml:space="preserve">BUG035</t>
  </si>
  <si>
    <t xml:space="preserve">BUG036</t>
  </si>
  <si>
    <t xml:space="preserve">BUG037</t>
  </si>
  <si>
    <t xml:space="preserve">BUG038</t>
  </si>
  <si>
    <t xml:space="preserve">BUG039</t>
  </si>
  <si>
    <t xml:space="preserve">BUG040</t>
  </si>
  <si>
    <t xml:space="preserve">BUG041</t>
  </si>
  <si>
    <t xml:space="preserve">BUG042</t>
  </si>
  <si>
    <t xml:space="preserve">BUG043</t>
  </si>
  <si>
    <t xml:space="preserve">BUG044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</si>
</sst>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sz val="14"/>
      <color theme="1"/>
      <name val="Arial"/>
      <family val="2"/>
      <charset val="1"/>
    </font>
    <font>
      <sz val="14"/>
      <color rgb="FFFFFFFF"/>
      <name val="Arial"/>
      <family val="2"/>
      <charset val="1"/>
    </font>
    <font>
      <sz val="14"/>
      <color rgb="FFFF0000"/>
      <name val="Arial"/>
      <family val="2"/>
      <charset val="1"/>
    </font>
    <font>
      <sz val="14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sz val="11"/>
      <color rgb="FF473821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6" tint="-0.5"/>
        <bgColor rgb="FF13501B"/>
      </patternFill>
    </fill>
    <fill>
      <patternFill patternType="solid">
        <fgColor rgb="FFFFFF00"/>
        <bgColor rgb="FFFFFF00"/>
      </patternFill>
    </fill>
    <fill>
      <patternFill patternType="solid">
        <fgColor theme="1" tint="0.4999"/>
        <bgColor rgb="FF969696"/>
      </patternFill>
    </fill>
    <fill>
      <patternFill patternType="solid">
        <fgColor rgb="FF92D050"/>
        <bgColor rgb="FFAEAEAE"/>
      </patternFill>
    </fill>
    <fill>
      <patternFill patternType="solid">
        <fgColor rgb="FFC00000"/>
        <bgColor rgb="FF990000"/>
      </patternFill>
    </fill>
    <fill>
      <patternFill patternType="solid">
        <fgColor theme="6" tint="-0.25"/>
        <bgColor rgb="FF284E3F"/>
      </patternFill>
    </fill>
    <fill>
      <patternFill patternType="solid">
        <fgColor theme="2" tint="-0.25"/>
        <bgColor rgb="FF969696"/>
      </patternFill>
    </fill>
    <fill>
      <patternFill patternType="solid">
        <fgColor rgb="FF990000"/>
        <bgColor rgb="FFC00000"/>
      </patternFill>
    </fill>
    <fill>
      <patternFill patternType="solid">
        <fgColor rgb="FFF4CCCC"/>
        <bgColor rgb="FFD1D1D1"/>
      </patternFill>
    </fill>
    <fill>
      <patternFill patternType="solid">
        <fgColor rgb="FFFFC000"/>
        <bgColor rgb="FFFF9900"/>
      </patternFill>
    </fill>
    <fill>
      <patternFill patternType="solid">
        <fgColor theme="2" tint="-0.1"/>
        <bgColor rgb="FFF4CCCC"/>
      </patternFill>
    </fill>
    <fill>
      <patternFill patternType="solid">
        <fgColor theme="5" tint="0.3999"/>
        <bgColor rgb="FFFF8080"/>
      </patternFill>
    </fill>
    <fill>
      <patternFill patternType="solid">
        <fgColor theme="0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>
        <color rgb="FF284E3F"/>
      </left>
      <right style="dotted">
        <color rgb="FF284E3F"/>
      </right>
      <top style="dotted">
        <color rgb="FF284E3F"/>
      </top>
      <bottom style="medium">
        <color rgb="FF284E3F"/>
      </bottom>
      <diagonal/>
    </border>
    <border diagonalUp="false" diagonalDown="false">
      <left/>
      <right/>
      <top/>
      <bottom style="dotted">
        <color rgb="FF284E3F"/>
      </bottom>
      <diagonal/>
    </border>
    <border diagonalUp="false" diagonalDown="false">
      <left style="dotted">
        <color rgb="FF284E3F"/>
      </left>
      <right/>
      <top/>
      <bottom style="dotted">
        <color rgb="FF284E3F"/>
      </bottom>
      <diagonal/>
    </border>
    <border diagonalUp="false" diagonalDown="false">
      <left style="dotted">
        <color rgb="FF284E3F"/>
      </left>
      <right style="dotted">
        <color rgb="FF284E3F"/>
      </right>
      <top style="dotted">
        <color rgb="FF284E3F"/>
      </top>
      <bottom style="dotted">
        <color rgb="FF284E3F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dotted"/>
      <right style="medium">
        <color rgb="FFFFFFFF"/>
      </right>
      <top/>
      <bottom/>
      <diagonal/>
    </border>
    <border diagonalUp="false" diagonalDown="false">
      <left/>
      <right style="medium">
        <color rgb="FFFFFFFF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12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4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4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4" borderId="1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4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4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1350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7382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AEAEA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2AA84"/>
      <rgbColor rgb="FFCC99FF"/>
      <rgbColor rgb="FFF4CCCC"/>
      <rgbColor rgb="FF3366FF"/>
      <rgbColor rgb="FF33CCCC"/>
      <rgbColor rgb="FF92D050"/>
      <rgbColor rgb="FFFFC000"/>
      <rgbColor rgb="FFFF9900"/>
      <rgbColor rgb="FFFF6600"/>
      <rgbColor rgb="FF467886"/>
      <rgbColor rgb="FF969696"/>
      <rgbColor rgb="FF284E3F"/>
      <rgbColor rgb="FF339966"/>
      <rgbColor rgb="FF0C3512"/>
      <rgbColor rgb="FF13501B"/>
      <rgbColor rgb="FF993300"/>
      <rgbColor rgb="FF993366"/>
      <rgbColor rgb="FF333399"/>
      <rgbColor rgb="FF4738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4:L49" headerRowCount="1" totalsRowCount="0" totalsRowShown="0">
  <autoFilter ref="B4:L49"/>
  <tableColumns count="11">
    <tableColumn id="1" name="ID_Bug"/>
    <tableColumn id="2" name="ID MH (Auto fill)"/>
    <tableColumn id="3" name="Category (Selelect)"/>
    <tableColumn id="4" name="Description"/>
    <tableColumn id="5" name="Attachment"/>
    <tableColumn id="6" name="Priority"/>
    <tableColumn id="7" name="Result"/>
    <tableColumn id="8" name="Reporter"/>
    <tableColumn id="9" name="PIC"/>
    <tableColumn id="10" name="Comp. Date"/>
    <tableColumn id="11" name="Remark"/>
  </tableColumns>
</table>
</file>

<file path=xl/tables/table2.xml><?xml version="1.0" encoding="utf-8"?>
<table xmlns="http://schemas.openxmlformats.org/spreadsheetml/2006/main" id="2" name="Table2" displayName="Table2" ref="B3:L14" headerRowCount="1" totalsRowCount="0" totalsRowShown="0">
  <autoFilter ref="B3:L14"/>
  <tableColumns count="11">
    <tableColumn id="1" name="ID MH"/>
    <tableColumn id="2" name="Category"/>
    <tableColumn id="3" name="Description"/>
    <tableColumn id="4" name="TestResult (Chrome)"/>
    <tableColumn id="5" name="Pic"/>
    <tableColumn id="6" name="Day"/>
    <tableColumn id="7" name="Cmt"/>
    <tableColumn id="8" name="Unhandled Bug"/>
    <tableColumn id="9" name="UI- Firefox"/>
    <tableColumn id="10" name="UI- Edge"/>
    <tableColumn id="11" name="UI- Safar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echzen.academy/courses" TargetMode="External"/><Relationship Id="rId2" Type="http://schemas.openxmlformats.org/officeDocument/2006/relationships/hyperlink" Target="https://www.figma.com/design/hgi2sTL0dMowaRXViIDP8f/TZ--ACADEMY-website----2025?node-id=9915-16998&amp;m=dev" TargetMode="Externa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6" activeCellId="0" sqref="K26"/>
    </sheetView>
  </sheetViews>
  <sheetFormatPr defaultColWidth="8.59765625" defaultRowHeight="15" customHeight="true" zeroHeight="false" outlineLevelRow="0" outlineLevelCol="0"/>
  <cols>
    <col collapsed="false" customWidth="true" hidden="false" outlineLevel="0" max="7" min="7" style="0" width="13"/>
    <col collapsed="false" customWidth="true" hidden="false" outlineLevel="0" max="8" min="8" style="0" width="60.86"/>
    <col collapsed="false" customWidth="true" hidden="false" outlineLevel="0" max="9" min="9" style="0" width="26.43"/>
  </cols>
  <sheetData>
    <row r="1" customFormat="false" ht="17.35" hidden="false" customHeight="false" outlineLevel="0" collapsed="false">
      <c r="F1" s="1" t="s">
        <v>0</v>
      </c>
      <c r="G1" s="1" t="s">
        <v>1</v>
      </c>
      <c r="H1" s="1" t="s">
        <v>2</v>
      </c>
      <c r="I1" s="1" t="s">
        <v>3</v>
      </c>
    </row>
    <row r="2" customFormat="false" ht="15" hidden="false" customHeight="false" outlineLevel="0" collapsed="false">
      <c r="F2" s="2" t="n">
        <v>1</v>
      </c>
      <c r="G2" s="3" t="s">
        <v>4</v>
      </c>
      <c r="H2" s="4" t="s">
        <v>5</v>
      </c>
      <c r="I2" s="4"/>
    </row>
    <row r="3" customFormat="false" ht="15" hidden="false" customHeight="false" outlineLevel="0" collapsed="false">
      <c r="F3" s="2"/>
      <c r="G3" s="3"/>
      <c r="H3" s="4" t="s">
        <v>6</v>
      </c>
      <c r="I3" s="4"/>
    </row>
    <row r="4" customFormat="false" ht="15" hidden="false" customHeight="false" outlineLevel="0" collapsed="false">
      <c r="F4" s="2"/>
      <c r="G4" s="3"/>
      <c r="H4" s="4" t="s">
        <v>7</v>
      </c>
      <c r="I4" s="4"/>
    </row>
    <row r="5" customFormat="false" ht="15" hidden="false" customHeight="false" outlineLevel="0" collapsed="false">
      <c r="F5" s="2"/>
      <c r="G5" s="3"/>
      <c r="H5" s="5" t="s">
        <v>8</v>
      </c>
      <c r="I5" s="5" t="s">
        <v>9</v>
      </c>
    </row>
    <row r="6" customFormat="false" ht="15" hidden="false" customHeight="false" outlineLevel="0" collapsed="false">
      <c r="F6" s="2"/>
      <c r="G6" s="3"/>
      <c r="H6" s="4" t="s">
        <v>10</v>
      </c>
      <c r="I6" s="4"/>
    </row>
    <row r="7" customFormat="false" ht="15" hidden="false" customHeight="false" outlineLevel="0" collapsed="false">
      <c r="F7" s="2"/>
      <c r="G7" s="3"/>
      <c r="H7" s="4" t="s">
        <v>11</v>
      </c>
      <c r="I7" s="4"/>
    </row>
    <row r="8" customFormat="false" ht="15" hidden="false" customHeight="false" outlineLevel="0" collapsed="false">
      <c r="F8" s="2"/>
      <c r="G8" s="3"/>
      <c r="H8" s="4" t="s">
        <v>12</v>
      </c>
      <c r="I8" s="4"/>
    </row>
    <row r="9" customFormat="false" ht="15" hidden="false" customHeight="false" outlineLevel="0" collapsed="false">
      <c r="F9" s="2"/>
      <c r="G9" s="3"/>
      <c r="H9" s="4" t="s">
        <v>13</v>
      </c>
      <c r="I9" s="4"/>
    </row>
    <row r="10" customFormat="false" ht="15" hidden="false" customHeight="false" outlineLevel="0" collapsed="false">
      <c r="F10" s="2"/>
      <c r="G10" s="3"/>
      <c r="H10" s="4" t="s">
        <v>14</v>
      </c>
      <c r="I10" s="4"/>
    </row>
    <row r="11" customFormat="false" ht="15" hidden="false" customHeight="false" outlineLevel="0" collapsed="false">
      <c r="F11" s="2"/>
      <c r="G11" s="3"/>
      <c r="H11" s="4" t="s">
        <v>15</v>
      </c>
      <c r="I11" s="4"/>
    </row>
    <row r="12" customFormat="false" ht="15" hidden="false" customHeight="false" outlineLevel="0" collapsed="false">
      <c r="F12" s="6" t="n">
        <v>2</v>
      </c>
      <c r="G12" s="7" t="s">
        <v>16</v>
      </c>
      <c r="H12" s="4" t="s">
        <v>17</v>
      </c>
      <c r="I12" s="4"/>
    </row>
    <row r="13" customFormat="false" ht="15" hidden="false" customHeight="false" outlineLevel="0" collapsed="false">
      <c r="F13" s="2" t="n">
        <v>3</v>
      </c>
      <c r="G13" s="3" t="s">
        <v>18</v>
      </c>
      <c r="H13" s="4" t="s">
        <v>19</v>
      </c>
      <c r="I13" s="4"/>
    </row>
    <row r="14" customFormat="false" ht="15" hidden="false" customHeight="false" outlineLevel="0" collapsed="false">
      <c r="F14" s="2"/>
      <c r="G14" s="3"/>
      <c r="H14" s="4" t="s">
        <v>20</v>
      </c>
      <c r="I14" s="4"/>
    </row>
    <row r="15" customFormat="false" ht="15" hidden="false" customHeight="false" outlineLevel="0" collapsed="false">
      <c r="F15" s="2"/>
      <c r="G15" s="3"/>
      <c r="H15" s="4" t="s">
        <v>21</v>
      </c>
      <c r="I15" s="4"/>
    </row>
    <row r="16" customFormat="false" ht="15" hidden="false" customHeight="false" outlineLevel="0" collapsed="false">
      <c r="F16" s="2"/>
      <c r="G16" s="3"/>
      <c r="H16" s="4" t="s">
        <v>22</v>
      </c>
      <c r="I16" s="4"/>
    </row>
    <row r="17" customFormat="false" ht="15" hidden="false" customHeight="false" outlineLevel="0" collapsed="false">
      <c r="F17" s="2"/>
      <c r="G17" s="3"/>
      <c r="H17" s="4" t="s">
        <v>23</v>
      </c>
      <c r="I17" s="4"/>
    </row>
    <row r="18" customFormat="false" ht="15" hidden="false" customHeight="false" outlineLevel="0" collapsed="false">
      <c r="F18" s="8" t="n">
        <v>4</v>
      </c>
      <c r="G18" s="8" t="s">
        <v>24</v>
      </c>
      <c r="H18" s="4" t="s">
        <v>25</v>
      </c>
      <c r="I18" s="4"/>
    </row>
    <row r="19" customFormat="false" ht="15" hidden="false" customHeight="false" outlineLevel="0" collapsed="false">
      <c r="F19" s="8"/>
      <c r="G19" s="8"/>
      <c r="H19" s="4" t="s">
        <v>26</v>
      </c>
      <c r="I19" s="4"/>
    </row>
    <row r="20" customFormat="false" ht="15" hidden="false" customHeight="false" outlineLevel="0" collapsed="false">
      <c r="F20" s="8"/>
      <c r="G20" s="8"/>
      <c r="H20" s="4" t="s">
        <v>27</v>
      </c>
      <c r="I20" s="4"/>
    </row>
    <row r="21" customFormat="false" ht="15" hidden="false" customHeight="false" outlineLevel="0" collapsed="false">
      <c r="F21" s="8"/>
      <c r="G21" s="8"/>
      <c r="H21" s="4" t="s">
        <v>28</v>
      </c>
      <c r="I21" s="4"/>
    </row>
    <row r="22" customFormat="false" ht="15" hidden="false" customHeight="false" outlineLevel="0" collapsed="false">
      <c r="F22" s="9" t="n">
        <v>5</v>
      </c>
      <c r="G22" s="4" t="s">
        <v>29</v>
      </c>
      <c r="H22" s="5" t="s">
        <v>30</v>
      </c>
      <c r="I22" s="5" t="s">
        <v>9</v>
      </c>
    </row>
    <row r="26" customFormat="false" ht="15" hidden="false" customHeight="false" outlineLevel="0" collapsed="false">
      <c r="K26" s="0" t="s">
        <v>31</v>
      </c>
    </row>
  </sheetData>
  <mergeCells count="6">
    <mergeCell ref="F2:F11"/>
    <mergeCell ref="G2:G11"/>
    <mergeCell ref="F13:F17"/>
    <mergeCell ref="G13:G17"/>
    <mergeCell ref="F18:F21"/>
    <mergeCell ref="G18:G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3" activeCellId="0" sqref="B3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9.71"/>
    <col collapsed="false" customWidth="true" hidden="false" outlineLevel="0" max="3" min="3" style="0" width="33.43"/>
    <col collapsed="false" customWidth="true" hidden="false" outlineLevel="0" max="4" min="4" style="0" width="25.57"/>
    <col collapsed="false" customWidth="true" hidden="false" outlineLevel="0" max="5" min="5" style="0" width="32.86"/>
    <col collapsed="false" customWidth="true" hidden="false" outlineLevel="0" max="6" min="6" style="0" width="18"/>
    <col collapsed="false" customWidth="true" hidden="false" outlineLevel="0" max="7" min="7" style="0" width="16.72"/>
    <col collapsed="false" customWidth="true" hidden="false" outlineLevel="0" max="8" min="8" style="0" width="21"/>
    <col collapsed="false" customWidth="true" hidden="false" outlineLevel="0" max="9" min="9" style="10" width="23"/>
    <col collapsed="false" customWidth="true" hidden="false" outlineLevel="0" max="10" min="10" style="0" width="16.72"/>
    <col collapsed="false" customWidth="true" hidden="false" outlineLevel="0" max="11" min="11" style="0" width="14"/>
    <col collapsed="false" customWidth="true" hidden="false" outlineLevel="0" max="12" min="12" style="0" width="14.86"/>
  </cols>
  <sheetData>
    <row r="1" customFormat="false" ht="16.4" hidden="false" customHeight="false" outlineLevel="0" collapsed="false">
      <c r="B1" s="11" t="s">
        <v>32</v>
      </c>
      <c r="C1" s="12" t="s">
        <v>33</v>
      </c>
      <c r="D1" s="13" t="s">
        <v>34</v>
      </c>
      <c r="E1" s="13" t="s">
        <v>35</v>
      </c>
      <c r="F1" s="14" t="s">
        <v>36</v>
      </c>
      <c r="G1" s="13" t="s">
        <v>37</v>
      </c>
      <c r="J1" s="15" t="s">
        <v>38</v>
      </c>
      <c r="K1" s="16" t="s">
        <v>39</v>
      </c>
    </row>
    <row r="2" customFormat="false" ht="17.35" hidden="false" customHeight="false" outlineLevel="0" collapsed="false">
      <c r="B2" s="11" t="s">
        <v>40</v>
      </c>
      <c r="C2" s="12" t="s">
        <v>41</v>
      </c>
      <c r="D2" s="17" t="n">
        <f aca="false">COUNTIF($E$4:$E$100,D1)</f>
        <v>5</v>
      </c>
      <c r="E2" s="17" t="n">
        <f aca="false">COUNTIF($E$4:$E$100,E1)</f>
        <v>1</v>
      </c>
      <c r="F2" s="17" t="n">
        <f aca="false">COUNTIF($E$4:$E$100,F1)</f>
        <v>0</v>
      </c>
      <c r="G2" s="17" t="n">
        <f aca="false">COUNTIF($E$4:$E$100,G1)</f>
        <v>5</v>
      </c>
      <c r="J2" s="17" t="n">
        <f aca="false">COUNTIF(Table2[[UI- Firefox]:[UI- Safari]],J1)</f>
        <v>0</v>
      </c>
      <c r="K2" s="17" t="n">
        <f aca="false">COUNTIF(Table2[[UI- Firefox]:[UI- Safari]],K1)</f>
        <v>0</v>
      </c>
    </row>
    <row r="3" customFormat="false" ht="17.35" hidden="false" customHeight="false" outlineLevel="0" collapsed="false">
      <c r="B3" s="18" t="s">
        <v>42</v>
      </c>
      <c r="C3" s="18" t="s">
        <v>43</v>
      </c>
      <c r="D3" s="18" t="s">
        <v>2</v>
      </c>
      <c r="E3" s="19" t="s">
        <v>44</v>
      </c>
      <c r="F3" s="18" t="s">
        <v>45</v>
      </c>
      <c r="G3" s="18" t="s">
        <v>46</v>
      </c>
      <c r="H3" s="18" t="s">
        <v>47</v>
      </c>
      <c r="I3" s="20" t="s">
        <v>48</v>
      </c>
      <c r="J3" s="18" t="s">
        <v>49</v>
      </c>
      <c r="K3" s="18" t="s">
        <v>50</v>
      </c>
      <c r="L3" s="18" t="s">
        <v>51</v>
      </c>
    </row>
    <row r="4" customFormat="false" ht="15" hidden="false" customHeight="false" outlineLevel="0" collapsed="false">
      <c r="B4" s="0" t="s">
        <v>52</v>
      </c>
      <c r="C4" s="0" t="s">
        <v>53</v>
      </c>
      <c r="E4" s="21" t="s">
        <v>37</v>
      </c>
      <c r="F4" s="22" t="s">
        <v>54</v>
      </c>
      <c r="I4" s="10" t="n">
        <f aca="false">COUNTIFS('Danh sách bug'!C$5:C$101, B4, 'Danh sách bug'!H$5:H$101, "&lt;&gt;Done", 'Danh sách bug'!H$5:H$101, "&lt;&gt;Cancel")</f>
        <v>1</v>
      </c>
    </row>
    <row r="5" customFormat="false" ht="15" hidden="false" customHeight="false" outlineLevel="0" collapsed="false">
      <c r="B5" s="0" t="s">
        <v>55</v>
      </c>
      <c r="C5" s="0" t="s">
        <v>56</v>
      </c>
      <c r="E5" s="21" t="s">
        <v>37</v>
      </c>
      <c r="F5" s="22" t="s">
        <v>54</v>
      </c>
      <c r="I5" s="10" t="n">
        <f aca="false">COUNTIFS('Danh sách bug'!C$5:C$101, B5, 'Danh sách bug'!H$5:H$101, "&lt;&gt;Done", 'Danh sách bug'!H$5:H$101, "&lt;&gt;Cancel")</f>
        <v>1</v>
      </c>
    </row>
    <row r="6" customFormat="false" ht="15" hidden="false" customHeight="false" outlineLevel="0" collapsed="false">
      <c r="B6" s="0" t="s">
        <v>57</v>
      </c>
      <c r="C6" s="0" t="s">
        <v>58</v>
      </c>
      <c r="E6" s="21" t="s">
        <v>37</v>
      </c>
      <c r="F6" s="22" t="s">
        <v>54</v>
      </c>
      <c r="I6" s="10" t="n">
        <f aca="false">COUNTIFS('Danh sách bug'!C$5:C$101, B6, 'Danh sách bug'!H$5:H$101, "&lt;&gt;Done", 'Danh sách bug'!H$5:H$101, "&lt;&gt;Cancel")</f>
        <v>0</v>
      </c>
    </row>
    <row r="7" customFormat="false" ht="15" hidden="false" customHeight="false" outlineLevel="0" collapsed="false">
      <c r="B7" s="0" t="s">
        <v>59</v>
      </c>
      <c r="C7" s="0" t="s">
        <v>60</v>
      </c>
      <c r="E7" s="21" t="s">
        <v>37</v>
      </c>
      <c r="F7" s="22" t="s">
        <v>54</v>
      </c>
      <c r="I7" s="10" t="n">
        <f aca="false">COUNTIFS('Danh sách bug'!C$5:C$101, B7, 'Danh sách bug'!H$5:H$101, "&lt;&gt;Done", 'Danh sách bug'!H$5:H$101, "&lt;&gt;Cancel")</f>
        <v>0</v>
      </c>
    </row>
    <row r="8" customFormat="false" ht="15" hidden="false" customHeight="false" outlineLevel="0" collapsed="false">
      <c r="B8" s="0" t="s">
        <v>61</v>
      </c>
      <c r="C8" s="0" t="s">
        <v>58</v>
      </c>
      <c r="E8" s="21" t="s">
        <v>37</v>
      </c>
      <c r="F8" s="22" t="s">
        <v>54</v>
      </c>
      <c r="I8" s="10" t="n">
        <f aca="false">COUNTIFS('Danh sách bug'!C$5:C$101, B8, 'Danh sách bug'!H$5:H$101, "&lt;&gt;Done", 'Danh sách bug'!H$5:H$101, "&lt;&gt;Cancel")</f>
        <v>0</v>
      </c>
    </row>
    <row r="9" customFormat="false" ht="15" hidden="false" customHeight="false" outlineLevel="0" collapsed="false">
      <c r="B9" s="0" t="s">
        <v>62</v>
      </c>
      <c r="C9" s="0" t="s">
        <v>63</v>
      </c>
      <c r="E9" s="21" t="s">
        <v>34</v>
      </c>
      <c r="F9" s="22" t="s">
        <v>64</v>
      </c>
      <c r="I9" s="10" t="n">
        <f aca="false">COUNTIFS('Danh sách bug'!C$5:C$101, B9, 'Danh sách bug'!H$5:H$101, "&lt;&gt;Done", 'Danh sách bug'!H$5:H$101, "&lt;&gt;Cancel")</f>
        <v>0</v>
      </c>
    </row>
    <row r="10" customFormat="false" ht="15" hidden="false" customHeight="false" outlineLevel="0" collapsed="false">
      <c r="B10" s="0" t="s">
        <v>65</v>
      </c>
      <c r="C10" s="0" t="s">
        <v>66</v>
      </c>
      <c r="E10" s="21" t="s">
        <v>34</v>
      </c>
      <c r="F10" s="22" t="s">
        <v>64</v>
      </c>
      <c r="I10" s="10" t="n">
        <f aca="false">COUNTIFS('Danh sách bug'!C$5:C$101, B10, 'Danh sách bug'!H$5:H$101, "&lt;&gt;Done", 'Danh sách bug'!H$5:H$101, "&lt;&gt;Cancel")</f>
        <v>0</v>
      </c>
    </row>
    <row r="11" customFormat="false" ht="15" hidden="false" customHeight="false" outlineLevel="0" collapsed="false">
      <c r="B11" s="0" t="s">
        <v>67</v>
      </c>
      <c r="C11" s="0" t="s">
        <v>68</v>
      </c>
      <c r="E11" s="21" t="s">
        <v>34</v>
      </c>
      <c r="F11" s="22" t="s">
        <v>64</v>
      </c>
      <c r="I11" s="10" t="n">
        <f aca="false">COUNTIFS('Danh sách bug'!C$5:C$101, B11, 'Danh sách bug'!H$5:H$101, "&lt;&gt;Done", 'Danh sách bug'!H$5:H$101, "&lt;&gt;Cancel")</f>
        <v>0</v>
      </c>
    </row>
    <row r="12" customFormat="false" ht="15" hidden="false" customHeight="false" outlineLevel="0" collapsed="false">
      <c r="B12" s="0" t="s">
        <v>69</v>
      </c>
      <c r="C12" s="0" t="s">
        <v>70</v>
      </c>
      <c r="E12" s="21" t="s">
        <v>34</v>
      </c>
      <c r="F12" s="22" t="s">
        <v>64</v>
      </c>
      <c r="I12" s="10" t="n">
        <f aca="false">COUNTIFS('Danh sách bug'!C$5:C$101, B12, 'Danh sách bug'!H$5:H$101, "&lt;&gt;Done", 'Danh sách bug'!H$5:H$101, "&lt;&gt;Cancel")</f>
        <v>0</v>
      </c>
    </row>
    <row r="13" customFormat="false" ht="15" hidden="false" customHeight="false" outlineLevel="0" collapsed="false">
      <c r="B13" s="0" t="s">
        <v>71</v>
      </c>
      <c r="C13" s="0" t="s">
        <v>72</v>
      </c>
      <c r="E13" s="21" t="s">
        <v>34</v>
      </c>
      <c r="F13" s="22" t="s">
        <v>64</v>
      </c>
      <c r="I13" s="10" t="n">
        <f aca="false">COUNTIFS('Danh sách bug'!C$5:C$101, B13, 'Danh sách bug'!H$5:H$101, "&lt;&gt;Done", 'Danh sách bug'!H$5:H$101, "&lt;&gt;Cancel")</f>
        <v>0</v>
      </c>
    </row>
    <row r="14" customFormat="false" ht="15" hidden="false" customHeight="false" outlineLevel="0" collapsed="false">
      <c r="B14" s="0" t="s">
        <v>73</v>
      </c>
      <c r="C14" s="0" t="s">
        <v>74</v>
      </c>
      <c r="E14" s="21" t="s">
        <v>35</v>
      </c>
      <c r="F14" s="0" t="s">
        <v>75</v>
      </c>
      <c r="I14" s="10" t="n">
        <f aca="false">COUNTIFS('Danh sách bug'!C$5:C$101, B14, 'Danh sách bug'!H$5:H$101, "&lt;&gt;Done", 'Danh sách bug'!H$5:H$101, "&lt;&gt;Cancel")</f>
        <v>0</v>
      </c>
    </row>
  </sheetData>
  <dataValidations count="3">
    <dataValidation allowBlank="true" errorStyle="stop" operator="between" showDropDown="false" showErrorMessage="true" showInputMessage="true" sqref="E4:E14" type="list">
      <formula1>$D$1:$G$1</formula1>
      <formula2>0</formula2>
    </dataValidation>
    <dataValidation allowBlank="true" errorStyle="stop" operator="between" showDropDown="false" showErrorMessage="true" showInputMessage="true" sqref="J4:L13" type="list">
      <formula1>$J$1:$K$1</formula1>
      <formula2>0</formula2>
    </dataValidation>
    <dataValidation allowBlank="true" errorStyle="stop" operator="between" showDropDown="false" showErrorMessage="true" showInputMessage="true" sqref="F4:F13" type="list">
      <formula1>'Danh sách bug'!$N$3:$O$3</formula1>
      <formula2>0</formula2>
    </dataValidation>
  </dataValidations>
  <hyperlinks>
    <hyperlink ref="C1" r:id="rId1" display="https://techzen.academy/courses"/>
    <hyperlink ref="C2" r:id="rId2" display="https://www.figma.com/design/hgi2sTL0dMowaRXViIDP8f/TZ--ACADEMY-website----2025?node-id=9915-16998&amp;m=dev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2" activeCellId="0" sqref="N2"/>
    </sheetView>
  </sheetViews>
  <sheetFormatPr defaultColWidth="9.14453125" defaultRowHeight="15" customHeight="true" zeroHeight="false" outlineLevelRow="0" outlineLevelCol="0"/>
  <cols>
    <col collapsed="false" customWidth="false" hidden="false" outlineLevel="0" max="1" min="1" style="23" width="9.14"/>
    <col collapsed="false" customWidth="true" hidden="false" outlineLevel="0" max="2" min="2" style="23" width="13.29"/>
    <col collapsed="false" customWidth="true" hidden="false" outlineLevel="0" max="3" min="3" style="23" width="22.14"/>
    <col collapsed="false" customWidth="true" hidden="false" outlineLevel="0" max="4" min="4" style="23" width="27.57"/>
    <col collapsed="false" customWidth="true" hidden="false" outlineLevel="0" max="5" min="5" style="23" width="20.43"/>
    <col collapsed="false" customWidth="true" hidden="false" outlineLevel="0" max="6" min="6" style="23" width="18.5"/>
    <col collapsed="false" customWidth="true" hidden="false" outlineLevel="0" max="7" min="7" style="23" width="14.29"/>
    <col collapsed="false" customWidth="true" hidden="false" outlineLevel="0" max="8" min="8" style="24" width="14.71"/>
    <col collapsed="false" customWidth="true" hidden="false" outlineLevel="0" max="9" min="9" style="23" width="17.57"/>
    <col collapsed="false" customWidth="true" hidden="false" outlineLevel="0" max="10" min="10" style="23" width="13.71"/>
    <col collapsed="false" customWidth="true" hidden="false" outlineLevel="0" max="11" min="11" style="23" width="23.86"/>
    <col collapsed="false" customWidth="true" hidden="false" outlineLevel="0" max="12" min="12" style="23" width="13.86"/>
    <col collapsed="false" customWidth="false" hidden="false" outlineLevel="0" max="15" min="13" style="23" width="9.14"/>
    <col collapsed="false" customWidth="true" hidden="false" outlineLevel="0" max="16" min="16" style="0" width="16.29"/>
    <col collapsed="false" customWidth="false" hidden="false" outlineLevel="0" max="16384" min="17" style="23" width="9.14"/>
  </cols>
  <sheetData>
    <row r="1" customFormat="false" ht="15" hidden="false" customHeight="false" outlineLevel="0" collapsed="false">
      <c r="B1" s="25" t="s">
        <v>76</v>
      </c>
      <c r="C1" s="25"/>
      <c r="D1" s="25"/>
      <c r="E1" s="25"/>
      <c r="F1" s="26" t="s">
        <v>77</v>
      </c>
      <c r="G1" s="26"/>
      <c r="H1" s="26"/>
      <c r="I1" s="26"/>
      <c r="J1" s="26"/>
      <c r="K1" s="26"/>
      <c r="L1" s="26"/>
    </row>
    <row r="2" customFormat="false" ht="21.75" hidden="false" customHeight="true" outlineLevel="0" collapsed="false">
      <c r="B2" s="27" t="s">
        <v>78</v>
      </c>
      <c r="C2" s="28" t="s">
        <v>79</v>
      </c>
      <c r="D2" s="29" t="s">
        <v>80</v>
      </c>
      <c r="E2" s="30" t="s">
        <v>81</v>
      </c>
      <c r="F2" s="31" t="s">
        <v>34</v>
      </c>
      <c r="G2" s="31" t="s">
        <v>35</v>
      </c>
      <c r="H2" s="31" t="s">
        <v>82</v>
      </c>
      <c r="I2" s="31" t="s">
        <v>83</v>
      </c>
      <c r="J2" s="31" t="s">
        <v>37</v>
      </c>
      <c r="K2" s="31" t="s">
        <v>84</v>
      </c>
      <c r="L2" s="31" t="s">
        <v>85</v>
      </c>
      <c r="N2" s="32" t="s">
        <v>86</v>
      </c>
      <c r="O2" s="32"/>
      <c r="P2" s="33" t="s">
        <v>45</v>
      </c>
      <c r="Q2" s="33"/>
      <c r="R2" s="33"/>
      <c r="S2" s="33"/>
    </row>
    <row r="3" customFormat="false" ht="17.35" hidden="false" customHeight="false" outlineLevel="0" collapsed="false">
      <c r="B3" s="17" t="n">
        <f aca="false">COUNTIFS($G$5:$G$101, B2, $H$5:$H$101, "&lt;&gt;Done", $H$5:$H$101, "&lt;&gt;Cancel")</f>
        <v>0</v>
      </c>
      <c r="C3" s="17" t="n">
        <f aca="false">COUNTIFS($G$5:$G$101, C2, $H$5:$H$101, "&lt;&gt;Done", $H$5:$H$101, "&lt;&gt;Cancel")</f>
        <v>0</v>
      </c>
      <c r="D3" s="17" t="n">
        <f aca="false">COUNTIFS($G$5:$G$101, D2, $H$5:$H$101, "&lt;&gt;Done", $H$5:$H$101, "&lt;&gt;Cancel")</f>
        <v>0</v>
      </c>
      <c r="E3" s="17" t="n">
        <f aca="false">COUNTIFS($G$5:$G$101, E2, $H$5:$H$101, "&lt;&gt;Done", $H$5:$H$101, "&lt;&gt;Cancel")</f>
        <v>0</v>
      </c>
      <c r="F3" s="17" t="n">
        <f aca="false">COUNTIF($H$4:$H$139,F2)</f>
        <v>0</v>
      </c>
      <c r="G3" s="17" t="n">
        <f aca="false">COUNTIF($H$4:$H$139,G2)</f>
        <v>0</v>
      </c>
      <c r="H3" s="17" t="n">
        <f aca="false">COUNTIF($H$4:$H$139,H2)</f>
        <v>0</v>
      </c>
      <c r="I3" s="17" t="n">
        <f aca="false">COUNTIF($H$4:$H$139,I2)</f>
        <v>0</v>
      </c>
      <c r="J3" s="17" t="n">
        <f aca="false">COUNTIF($H$4:$H$139,J2)</f>
        <v>0</v>
      </c>
      <c r="K3" s="17" t="n">
        <f aca="false">COUNTIF($H$4:$H$139,K2)</f>
        <v>0</v>
      </c>
      <c r="L3" s="17" t="n">
        <f aca="false">COUNTIF($H$4:$H$139,L2)</f>
        <v>0</v>
      </c>
      <c r="N3" s="32" t="s">
        <v>54</v>
      </c>
      <c r="O3" s="32" t="s">
        <v>64</v>
      </c>
      <c r="P3" s="32" t="s">
        <v>87</v>
      </c>
      <c r="Q3" s="32"/>
      <c r="R3" s="32"/>
      <c r="S3" s="32"/>
    </row>
    <row r="4" customFormat="false" ht="17.35" hidden="false" customHeight="false" outlineLevel="0" collapsed="false">
      <c r="B4" s="18" t="s">
        <v>88</v>
      </c>
      <c r="C4" s="18" t="s">
        <v>89</v>
      </c>
      <c r="D4" s="18" t="s">
        <v>90</v>
      </c>
      <c r="E4" s="18" t="s">
        <v>2</v>
      </c>
      <c r="F4" s="18" t="s">
        <v>91</v>
      </c>
      <c r="G4" s="18" t="s">
        <v>92</v>
      </c>
      <c r="H4" s="20" t="s">
        <v>93</v>
      </c>
      <c r="I4" s="18" t="s">
        <v>86</v>
      </c>
      <c r="J4" s="18" t="s">
        <v>94</v>
      </c>
      <c r="K4" s="18" t="s">
        <v>95</v>
      </c>
      <c r="L4" s="18" t="s">
        <v>96</v>
      </c>
      <c r="M4" s="34"/>
      <c r="N4" s="34"/>
      <c r="O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customFormat="false" ht="20.25" hidden="false" customHeight="true" outlineLevel="0" collapsed="false">
      <c r="B5" s="35" t="s">
        <v>97</v>
      </c>
      <c r="C5" s="36" t="str">
        <f aca="false">_xlfn.XLOOKUP(D5,'Tiến độ Test'!C:C,'Tiến độ Test'!B:B,"Không tìm thấy")</f>
        <v>MH002</v>
      </c>
      <c r="D5" s="36" t="s">
        <v>56</v>
      </c>
      <c r="E5" s="36"/>
      <c r="F5" s="37"/>
      <c r="G5" s="38"/>
      <c r="H5" s="39"/>
      <c r="I5" s="36"/>
      <c r="J5" s="37"/>
      <c r="K5" s="37"/>
      <c r="L5" s="40"/>
      <c r="M5" s="34"/>
      <c r="N5" s="34"/>
      <c r="O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6.4" hidden="false" customHeight="false" outlineLevel="0" collapsed="false">
      <c r="B6" s="35" t="s">
        <v>98</v>
      </c>
      <c r="C6" s="36" t="str">
        <f aca="false">_xlfn.XLOOKUP(D6,'Tiến độ Test'!C:C,'Tiến độ Test'!B:B,"Không tìm thấy")</f>
        <v>MH001</v>
      </c>
      <c r="D6" s="36" t="s">
        <v>53</v>
      </c>
      <c r="E6" s="36"/>
      <c r="F6" s="37"/>
      <c r="G6" s="38"/>
      <c r="H6" s="39"/>
      <c r="I6" s="36"/>
      <c r="J6" s="37"/>
      <c r="K6" s="37"/>
      <c r="L6" s="40"/>
    </row>
    <row r="7" customFormat="false" ht="16.4" hidden="false" customHeight="false" outlineLevel="0" collapsed="false">
      <c r="B7" s="35" t="s">
        <v>99</v>
      </c>
      <c r="C7" s="36" t="str">
        <f aca="false">_xlfn.XLOOKUP(D7,'Tiến độ Test'!C:C,'Tiến độ Test'!B:B,"Không tìm thấy")</f>
        <v>Không tìm thấy</v>
      </c>
      <c r="D7" s="36"/>
      <c r="E7" s="36"/>
      <c r="F7" s="37"/>
      <c r="G7" s="38"/>
      <c r="H7" s="39"/>
      <c r="I7" s="36"/>
      <c r="J7" s="37"/>
      <c r="K7" s="37"/>
      <c r="L7" s="40"/>
    </row>
    <row r="8" customFormat="false" ht="16.4" hidden="false" customHeight="false" outlineLevel="0" collapsed="false">
      <c r="B8" s="35" t="s">
        <v>100</v>
      </c>
      <c r="C8" s="36" t="str">
        <f aca="false">_xlfn.XLOOKUP(D8,'Tiến độ Test'!C:C,'Tiến độ Test'!B:B,"Không tìm thấy")</f>
        <v>Không tìm thấy</v>
      </c>
      <c r="D8" s="36"/>
      <c r="E8" s="36"/>
      <c r="F8" s="37"/>
      <c r="G8" s="38"/>
      <c r="H8" s="39"/>
      <c r="I8" s="36"/>
      <c r="J8" s="37"/>
      <c r="K8" s="37"/>
      <c r="L8" s="40"/>
    </row>
    <row r="9" customFormat="false" ht="16.4" hidden="false" customHeight="false" outlineLevel="0" collapsed="false">
      <c r="B9" s="35" t="s">
        <v>101</v>
      </c>
      <c r="C9" s="36" t="str">
        <f aca="false">_xlfn.XLOOKUP(D9,'Tiến độ Test'!C:C,'Tiến độ Test'!B:B,"Không tìm thấy")</f>
        <v>Không tìm thấy</v>
      </c>
      <c r="D9" s="36"/>
      <c r="E9" s="36"/>
      <c r="F9" s="37"/>
      <c r="G9" s="38"/>
      <c r="H9" s="39"/>
      <c r="I9" s="36"/>
      <c r="J9" s="37"/>
      <c r="K9" s="37"/>
      <c r="L9" s="40"/>
    </row>
    <row r="10" customFormat="false" ht="16.4" hidden="false" customHeight="false" outlineLevel="0" collapsed="false">
      <c r="B10" s="35" t="s">
        <v>102</v>
      </c>
      <c r="C10" s="36" t="str">
        <f aca="false">_xlfn.XLOOKUP(D10,'Tiến độ Test'!C:C,'Tiến độ Test'!B:B,"Không tìm thấy")</f>
        <v>Không tìm thấy</v>
      </c>
      <c r="D10" s="36"/>
      <c r="E10" s="36"/>
      <c r="F10" s="37"/>
      <c r="G10" s="38"/>
      <c r="H10" s="39"/>
      <c r="I10" s="36"/>
      <c r="J10" s="37"/>
      <c r="K10" s="37"/>
      <c r="L10" s="40"/>
    </row>
    <row r="11" customFormat="false" ht="16.4" hidden="false" customHeight="false" outlineLevel="0" collapsed="false">
      <c r="B11" s="35" t="s">
        <v>103</v>
      </c>
      <c r="C11" s="36" t="str">
        <f aca="false">_xlfn.XLOOKUP(D11,'Tiến độ Test'!C:C,'Tiến độ Test'!B:B,"Không tìm thấy")</f>
        <v>Không tìm thấy</v>
      </c>
      <c r="D11" s="36"/>
      <c r="E11" s="36"/>
      <c r="F11" s="37"/>
      <c r="G11" s="38"/>
      <c r="H11" s="39"/>
      <c r="I11" s="36"/>
      <c r="J11" s="37"/>
      <c r="K11" s="37"/>
      <c r="L11" s="40"/>
    </row>
    <row r="12" customFormat="false" ht="16.4" hidden="false" customHeight="false" outlineLevel="0" collapsed="false">
      <c r="B12" s="35" t="s">
        <v>104</v>
      </c>
      <c r="C12" s="36" t="str">
        <f aca="false">_xlfn.XLOOKUP(D12,'Tiến độ Test'!C:C,'Tiến độ Test'!B:B,"Không tìm thấy")</f>
        <v>Không tìm thấy</v>
      </c>
      <c r="D12" s="36"/>
      <c r="E12" s="36"/>
      <c r="F12" s="37"/>
      <c r="G12" s="38"/>
      <c r="H12" s="39"/>
      <c r="I12" s="36"/>
      <c r="J12" s="37"/>
      <c r="K12" s="37"/>
      <c r="L12" s="40"/>
    </row>
    <row r="13" customFormat="false" ht="16.4" hidden="false" customHeight="false" outlineLevel="0" collapsed="false">
      <c r="B13" s="35" t="s">
        <v>105</v>
      </c>
      <c r="C13" s="36" t="str">
        <f aca="false">_xlfn.XLOOKUP(D13,'Tiến độ Test'!C:C,'Tiến độ Test'!B:B,"Không tìm thấy")</f>
        <v>Không tìm thấy</v>
      </c>
      <c r="D13" s="36"/>
      <c r="E13" s="36"/>
      <c r="F13" s="37"/>
      <c r="G13" s="38"/>
      <c r="H13" s="39"/>
      <c r="I13" s="36"/>
      <c r="J13" s="37"/>
      <c r="K13" s="37"/>
      <c r="L13" s="40"/>
    </row>
    <row r="14" customFormat="false" ht="16.4" hidden="false" customHeight="false" outlineLevel="0" collapsed="false">
      <c r="B14" s="35" t="s">
        <v>106</v>
      </c>
      <c r="C14" s="36" t="str">
        <f aca="false">_xlfn.XLOOKUP(D14,'Tiến độ Test'!C:C,'Tiến độ Test'!B:B,"Không tìm thấy")</f>
        <v>Không tìm thấy</v>
      </c>
      <c r="D14" s="36"/>
      <c r="E14" s="36"/>
      <c r="F14" s="37"/>
      <c r="G14" s="38"/>
      <c r="H14" s="39"/>
      <c r="I14" s="36"/>
      <c r="J14" s="37"/>
      <c r="K14" s="37"/>
      <c r="L14" s="40"/>
    </row>
    <row r="15" customFormat="false" ht="16.4" hidden="false" customHeight="false" outlineLevel="0" collapsed="false">
      <c r="B15" s="35" t="s">
        <v>107</v>
      </c>
      <c r="C15" s="36" t="str">
        <f aca="false">_xlfn.XLOOKUP(D15,'Tiến độ Test'!C:C,'Tiến độ Test'!B:B,"Không tìm thấy")</f>
        <v>Không tìm thấy</v>
      </c>
      <c r="D15" s="36"/>
      <c r="E15" s="36"/>
      <c r="F15" s="37"/>
      <c r="G15" s="38"/>
      <c r="H15" s="39"/>
      <c r="I15" s="36"/>
      <c r="J15" s="37"/>
      <c r="K15" s="37"/>
      <c r="L15" s="40"/>
    </row>
    <row r="16" customFormat="false" ht="16.4" hidden="false" customHeight="false" outlineLevel="0" collapsed="false">
      <c r="B16" s="35" t="s">
        <v>108</v>
      </c>
      <c r="C16" s="36" t="str">
        <f aca="false">_xlfn.XLOOKUP(D16,'Tiến độ Test'!C:C,'Tiến độ Test'!B:B,"Không tìm thấy")</f>
        <v>Không tìm thấy</v>
      </c>
      <c r="D16" s="36"/>
      <c r="E16" s="36"/>
      <c r="F16" s="37"/>
      <c r="G16" s="38"/>
      <c r="H16" s="39"/>
      <c r="I16" s="36"/>
      <c r="J16" s="37"/>
      <c r="K16" s="37"/>
      <c r="L16" s="40"/>
    </row>
    <row r="17" customFormat="false" ht="16.4" hidden="false" customHeight="false" outlineLevel="0" collapsed="false">
      <c r="B17" s="35" t="s">
        <v>109</v>
      </c>
      <c r="C17" s="36" t="str">
        <f aca="false">_xlfn.XLOOKUP(D17,'Tiến độ Test'!C:C,'Tiến độ Test'!B:B,"Không tìm thấy")</f>
        <v>Không tìm thấy</v>
      </c>
      <c r="D17" s="36"/>
      <c r="E17" s="36"/>
      <c r="F17" s="37"/>
      <c r="G17" s="38"/>
      <c r="H17" s="39"/>
      <c r="I17" s="36"/>
      <c r="J17" s="37"/>
      <c r="K17" s="37"/>
      <c r="L17" s="40"/>
    </row>
    <row r="18" customFormat="false" ht="16.4" hidden="false" customHeight="false" outlineLevel="0" collapsed="false">
      <c r="B18" s="35" t="s">
        <v>110</v>
      </c>
      <c r="C18" s="36" t="str">
        <f aca="false">_xlfn.XLOOKUP(D18,'Tiến độ Test'!C:C,'Tiến độ Test'!B:B,"Không tìm thấy")</f>
        <v>Không tìm thấy</v>
      </c>
      <c r="D18" s="36"/>
      <c r="E18" s="36"/>
      <c r="F18" s="37"/>
      <c r="G18" s="38"/>
      <c r="H18" s="39"/>
      <c r="I18" s="36"/>
      <c r="J18" s="37"/>
      <c r="K18" s="37"/>
      <c r="L18" s="40"/>
    </row>
    <row r="19" customFormat="false" ht="16.4" hidden="false" customHeight="false" outlineLevel="0" collapsed="false">
      <c r="B19" s="35" t="s">
        <v>111</v>
      </c>
      <c r="C19" s="36" t="str">
        <f aca="false">_xlfn.XLOOKUP(D19,'Tiến độ Test'!C:C,'Tiến độ Test'!B:B,"Không tìm thấy")</f>
        <v>Không tìm thấy</v>
      </c>
      <c r="D19" s="36"/>
      <c r="E19" s="36"/>
      <c r="F19" s="37"/>
      <c r="G19" s="38"/>
      <c r="H19" s="39"/>
      <c r="I19" s="36"/>
      <c r="J19" s="37"/>
      <c r="K19" s="37"/>
      <c r="L19" s="40"/>
    </row>
    <row r="20" customFormat="false" ht="16.4" hidden="false" customHeight="false" outlineLevel="0" collapsed="false">
      <c r="B20" s="35" t="s">
        <v>112</v>
      </c>
      <c r="C20" s="36" t="str">
        <f aca="false">_xlfn.XLOOKUP(D20,'Tiến độ Test'!C:C,'Tiến độ Test'!B:B,"Không tìm thấy")</f>
        <v>Không tìm thấy</v>
      </c>
      <c r="D20" s="36"/>
      <c r="E20" s="36"/>
      <c r="F20" s="37"/>
      <c r="G20" s="38"/>
      <c r="H20" s="39"/>
      <c r="I20" s="36"/>
      <c r="J20" s="37"/>
      <c r="K20" s="37"/>
      <c r="L20" s="40"/>
    </row>
    <row r="21" customFormat="false" ht="16.4" hidden="false" customHeight="false" outlineLevel="0" collapsed="false">
      <c r="B21" s="35" t="s">
        <v>113</v>
      </c>
      <c r="C21" s="36" t="str">
        <f aca="false">_xlfn.XLOOKUP(D21,'Tiến độ Test'!C:C,'Tiến độ Test'!B:B,"Không tìm thấy")</f>
        <v>Không tìm thấy</v>
      </c>
      <c r="D21" s="36"/>
      <c r="E21" s="36"/>
      <c r="F21" s="37"/>
      <c r="G21" s="38"/>
      <c r="H21" s="39"/>
      <c r="I21" s="36"/>
      <c r="J21" s="37"/>
      <c r="K21" s="37"/>
      <c r="L21" s="40"/>
    </row>
    <row r="22" customFormat="false" ht="16.4" hidden="false" customHeight="false" outlineLevel="0" collapsed="false">
      <c r="B22" s="35" t="s">
        <v>114</v>
      </c>
      <c r="C22" s="36" t="str">
        <f aca="false">_xlfn.XLOOKUP(D22,'Tiến độ Test'!C:C,'Tiến độ Test'!B:B,"Không tìm thấy")</f>
        <v>Không tìm thấy</v>
      </c>
      <c r="D22" s="36"/>
      <c r="E22" s="36"/>
      <c r="F22" s="37"/>
      <c r="G22" s="38"/>
      <c r="H22" s="39"/>
      <c r="I22" s="36"/>
      <c r="J22" s="37"/>
      <c r="K22" s="37"/>
      <c r="L22" s="40"/>
    </row>
    <row r="23" customFormat="false" ht="16.4" hidden="false" customHeight="false" outlineLevel="0" collapsed="false">
      <c r="B23" s="35" t="s">
        <v>115</v>
      </c>
      <c r="C23" s="36" t="str">
        <f aca="false">_xlfn.XLOOKUP(D23,'Tiến độ Test'!C:C,'Tiến độ Test'!B:B,"Không tìm thấy")</f>
        <v>Không tìm thấy</v>
      </c>
      <c r="D23" s="36"/>
      <c r="E23" s="36"/>
      <c r="F23" s="37"/>
      <c r="G23" s="38"/>
      <c r="H23" s="39"/>
      <c r="I23" s="36"/>
      <c r="J23" s="37"/>
      <c r="K23" s="37"/>
      <c r="L23" s="40"/>
    </row>
    <row r="24" customFormat="false" ht="16.4" hidden="false" customHeight="false" outlineLevel="0" collapsed="false">
      <c r="B24" s="35" t="s">
        <v>116</v>
      </c>
      <c r="C24" s="36" t="str">
        <f aca="false">_xlfn.XLOOKUP(D24,'Tiến độ Test'!C:C,'Tiến độ Test'!B:B,"Không tìm thấy")</f>
        <v>Không tìm thấy</v>
      </c>
      <c r="D24" s="36"/>
      <c r="E24" s="36"/>
      <c r="F24" s="37"/>
      <c r="G24" s="38"/>
      <c r="H24" s="39"/>
      <c r="I24" s="36"/>
      <c r="J24" s="37"/>
      <c r="K24" s="37"/>
      <c r="L24" s="40"/>
    </row>
    <row r="25" customFormat="false" ht="16.4" hidden="false" customHeight="false" outlineLevel="0" collapsed="false">
      <c r="B25" s="35" t="s">
        <v>117</v>
      </c>
      <c r="C25" s="36" t="str">
        <f aca="false">_xlfn.XLOOKUP(D25,'Tiến độ Test'!C:C,'Tiến độ Test'!B:B,"Không tìm thấy")</f>
        <v>Không tìm thấy</v>
      </c>
      <c r="D25" s="36"/>
      <c r="E25" s="36"/>
      <c r="F25" s="37"/>
      <c r="G25" s="38"/>
      <c r="H25" s="39"/>
      <c r="I25" s="36"/>
      <c r="J25" s="37"/>
      <c r="K25" s="37"/>
      <c r="L25" s="40"/>
    </row>
    <row r="26" customFormat="false" ht="16.4" hidden="false" customHeight="false" outlineLevel="0" collapsed="false">
      <c r="B26" s="35" t="s">
        <v>118</v>
      </c>
      <c r="C26" s="36" t="str">
        <f aca="false">_xlfn.XLOOKUP(D26,'Tiến độ Test'!C:C,'Tiến độ Test'!B:B,"Không tìm thấy")</f>
        <v>Không tìm thấy</v>
      </c>
      <c r="D26" s="36"/>
      <c r="E26" s="36"/>
      <c r="F26" s="37"/>
      <c r="G26" s="38"/>
      <c r="H26" s="39"/>
      <c r="I26" s="36"/>
      <c r="J26" s="37"/>
      <c r="K26" s="37"/>
      <c r="L26" s="40"/>
    </row>
    <row r="27" customFormat="false" ht="16.4" hidden="false" customHeight="false" outlineLevel="0" collapsed="false">
      <c r="B27" s="35" t="s">
        <v>119</v>
      </c>
      <c r="C27" s="36" t="str">
        <f aca="false">_xlfn.XLOOKUP(D27,'Tiến độ Test'!C:C,'Tiến độ Test'!B:B,"Không tìm thấy")</f>
        <v>Không tìm thấy</v>
      </c>
      <c r="D27" s="36"/>
      <c r="E27" s="36"/>
      <c r="F27" s="37"/>
      <c r="G27" s="38"/>
      <c r="H27" s="39"/>
      <c r="I27" s="36"/>
      <c r="J27" s="37"/>
      <c r="K27" s="37"/>
      <c r="L27" s="40"/>
    </row>
    <row r="28" customFormat="false" ht="16.4" hidden="false" customHeight="false" outlineLevel="0" collapsed="false">
      <c r="B28" s="35" t="s">
        <v>120</v>
      </c>
      <c r="C28" s="36" t="str">
        <f aca="false">_xlfn.XLOOKUP(D28,'Tiến độ Test'!C:C,'Tiến độ Test'!B:B,"Không tìm thấy")</f>
        <v>Không tìm thấy</v>
      </c>
      <c r="D28" s="36"/>
      <c r="E28" s="36"/>
      <c r="F28" s="37"/>
      <c r="G28" s="38"/>
      <c r="H28" s="39"/>
      <c r="I28" s="36"/>
      <c r="J28" s="37"/>
      <c r="K28" s="37"/>
      <c r="L28" s="40"/>
    </row>
    <row r="29" customFormat="false" ht="16.4" hidden="false" customHeight="false" outlineLevel="0" collapsed="false">
      <c r="B29" s="35" t="s">
        <v>121</v>
      </c>
      <c r="C29" s="36" t="str">
        <f aca="false">_xlfn.XLOOKUP(D29,'Tiến độ Test'!C:C,'Tiến độ Test'!B:B,"Không tìm thấy")</f>
        <v>Không tìm thấy</v>
      </c>
      <c r="D29" s="36"/>
      <c r="E29" s="36"/>
      <c r="F29" s="37"/>
      <c r="G29" s="38"/>
      <c r="H29" s="39"/>
      <c r="I29" s="36"/>
      <c r="J29" s="37"/>
      <c r="K29" s="37"/>
      <c r="L29" s="40"/>
    </row>
    <row r="30" customFormat="false" ht="16.4" hidden="false" customHeight="false" outlineLevel="0" collapsed="false">
      <c r="B30" s="35" t="s">
        <v>122</v>
      </c>
      <c r="C30" s="36" t="str">
        <f aca="false">_xlfn.XLOOKUP(D30,'Tiến độ Test'!C:C,'Tiến độ Test'!B:B,"Không tìm thấy")</f>
        <v>Không tìm thấy</v>
      </c>
      <c r="D30" s="36"/>
      <c r="E30" s="36"/>
      <c r="F30" s="37"/>
      <c r="G30" s="38"/>
      <c r="H30" s="39"/>
      <c r="I30" s="36"/>
      <c r="J30" s="37"/>
      <c r="K30" s="37"/>
      <c r="L30" s="40"/>
    </row>
    <row r="31" customFormat="false" ht="16.4" hidden="false" customHeight="false" outlineLevel="0" collapsed="false">
      <c r="B31" s="35" t="s">
        <v>123</v>
      </c>
      <c r="C31" s="36" t="str">
        <f aca="false">_xlfn.XLOOKUP(D31,'Tiến độ Test'!C:C,'Tiến độ Test'!B:B,"Không tìm thấy")</f>
        <v>Không tìm thấy</v>
      </c>
      <c r="D31" s="36"/>
      <c r="E31" s="36"/>
      <c r="F31" s="37"/>
      <c r="G31" s="38"/>
      <c r="H31" s="39"/>
      <c r="I31" s="36"/>
      <c r="J31" s="37"/>
      <c r="K31" s="37"/>
      <c r="L31" s="40"/>
    </row>
    <row r="32" customFormat="false" ht="16.4" hidden="false" customHeight="false" outlineLevel="0" collapsed="false">
      <c r="B32" s="35" t="s">
        <v>124</v>
      </c>
      <c r="C32" s="36" t="str">
        <f aca="false">_xlfn.XLOOKUP(D32,'Tiến độ Test'!C:C,'Tiến độ Test'!B:B,"Không tìm thấy")</f>
        <v>Không tìm thấy</v>
      </c>
      <c r="D32" s="36"/>
      <c r="E32" s="36"/>
      <c r="F32" s="37"/>
      <c r="G32" s="38"/>
      <c r="H32" s="39"/>
      <c r="I32" s="36"/>
      <c r="J32" s="37"/>
      <c r="K32" s="37"/>
      <c r="L32" s="40"/>
    </row>
    <row r="33" customFormat="false" ht="16.4" hidden="false" customHeight="false" outlineLevel="0" collapsed="false">
      <c r="B33" s="35" t="s">
        <v>125</v>
      </c>
      <c r="C33" s="36" t="str">
        <f aca="false">_xlfn.XLOOKUP(D33,'Tiến độ Test'!C:C,'Tiến độ Test'!B:B,"Không tìm thấy")</f>
        <v>Không tìm thấy</v>
      </c>
      <c r="D33" s="36"/>
      <c r="E33" s="36"/>
      <c r="F33" s="37"/>
      <c r="G33" s="38"/>
      <c r="H33" s="39"/>
      <c r="I33" s="36"/>
      <c r="J33" s="37"/>
      <c r="K33" s="37"/>
      <c r="L33" s="40"/>
    </row>
    <row r="34" customFormat="false" ht="16.4" hidden="false" customHeight="false" outlineLevel="0" collapsed="false">
      <c r="B34" s="35" t="s">
        <v>126</v>
      </c>
      <c r="C34" s="36" t="str">
        <f aca="false">_xlfn.XLOOKUP(D34,'Tiến độ Test'!C:C,'Tiến độ Test'!B:B,"Không tìm thấy")</f>
        <v>Không tìm thấy</v>
      </c>
      <c r="D34" s="36"/>
      <c r="E34" s="36"/>
      <c r="F34" s="37"/>
      <c r="G34" s="38"/>
      <c r="H34" s="39"/>
      <c r="I34" s="36"/>
      <c r="J34" s="37"/>
      <c r="K34" s="37"/>
      <c r="L34" s="40"/>
    </row>
    <row r="35" customFormat="false" ht="16.4" hidden="false" customHeight="false" outlineLevel="0" collapsed="false">
      <c r="B35" s="35" t="s">
        <v>127</v>
      </c>
      <c r="C35" s="36" t="str">
        <f aca="false">_xlfn.XLOOKUP(D35,'Tiến độ Test'!C:C,'Tiến độ Test'!B:B,"Không tìm thấy")</f>
        <v>Không tìm thấy</v>
      </c>
      <c r="D35" s="36"/>
      <c r="E35" s="36"/>
      <c r="F35" s="37"/>
      <c r="G35" s="38"/>
      <c r="H35" s="39"/>
      <c r="I35" s="36"/>
      <c r="J35" s="37"/>
      <c r="K35" s="37"/>
      <c r="L35" s="40"/>
    </row>
    <row r="36" customFormat="false" ht="16.4" hidden="false" customHeight="false" outlineLevel="0" collapsed="false">
      <c r="B36" s="35" t="s">
        <v>128</v>
      </c>
      <c r="C36" s="36" t="str">
        <f aca="false">_xlfn.XLOOKUP(D36,'Tiến độ Test'!C:C,'Tiến độ Test'!B:B,"Không tìm thấy")</f>
        <v>Không tìm thấy</v>
      </c>
      <c r="D36" s="36"/>
      <c r="E36" s="36"/>
      <c r="F36" s="37"/>
      <c r="G36" s="38"/>
      <c r="H36" s="39"/>
      <c r="I36" s="36"/>
      <c r="J36" s="37"/>
      <c r="K36" s="37"/>
      <c r="L36" s="40"/>
    </row>
    <row r="37" customFormat="false" ht="16.4" hidden="false" customHeight="false" outlineLevel="0" collapsed="false">
      <c r="B37" s="35" t="s">
        <v>129</v>
      </c>
      <c r="C37" s="36" t="str">
        <f aca="false">_xlfn.XLOOKUP(D37,'Tiến độ Test'!C:C,'Tiến độ Test'!B:B,"Không tìm thấy")</f>
        <v>Không tìm thấy</v>
      </c>
      <c r="D37" s="36"/>
      <c r="E37" s="36"/>
      <c r="F37" s="37"/>
      <c r="G37" s="38"/>
      <c r="H37" s="39"/>
      <c r="I37" s="36"/>
      <c r="J37" s="37"/>
      <c r="K37" s="37"/>
      <c r="L37" s="40"/>
    </row>
    <row r="38" customFormat="false" ht="16.4" hidden="false" customHeight="false" outlineLevel="0" collapsed="false">
      <c r="B38" s="35" t="s">
        <v>130</v>
      </c>
      <c r="C38" s="36" t="str">
        <f aca="false">_xlfn.XLOOKUP(D38,'Tiến độ Test'!C:C,'Tiến độ Test'!B:B,"Không tìm thấy")</f>
        <v>Không tìm thấy</v>
      </c>
      <c r="D38" s="36"/>
      <c r="E38" s="36"/>
      <c r="F38" s="37"/>
      <c r="G38" s="38"/>
      <c r="H38" s="39"/>
      <c r="I38" s="36"/>
      <c r="J38" s="37"/>
      <c r="K38" s="37"/>
      <c r="L38" s="40"/>
    </row>
    <row r="39" customFormat="false" ht="16.4" hidden="false" customHeight="false" outlineLevel="0" collapsed="false">
      <c r="B39" s="35" t="s">
        <v>131</v>
      </c>
      <c r="C39" s="36" t="str">
        <f aca="false">_xlfn.XLOOKUP(D39,'Tiến độ Test'!C:C,'Tiến độ Test'!B:B,"Không tìm thấy")</f>
        <v>Không tìm thấy</v>
      </c>
      <c r="D39" s="36"/>
      <c r="E39" s="36"/>
      <c r="F39" s="37"/>
      <c r="G39" s="38"/>
      <c r="H39" s="39"/>
      <c r="I39" s="36"/>
      <c r="J39" s="37"/>
      <c r="K39" s="37"/>
      <c r="L39" s="40"/>
    </row>
    <row r="40" customFormat="false" ht="16.4" hidden="false" customHeight="false" outlineLevel="0" collapsed="false">
      <c r="B40" s="35" t="s">
        <v>132</v>
      </c>
      <c r="C40" s="36" t="str">
        <f aca="false">_xlfn.XLOOKUP(D40,'Tiến độ Test'!C:C,'Tiến độ Test'!B:B,"Không tìm thấy")</f>
        <v>Không tìm thấy</v>
      </c>
      <c r="D40" s="36"/>
      <c r="E40" s="36"/>
      <c r="F40" s="37"/>
      <c r="G40" s="38"/>
      <c r="H40" s="39"/>
      <c r="I40" s="36"/>
      <c r="J40" s="37"/>
      <c r="K40" s="37"/>
      <c r="L40" s="40"/>
    </row>
    <row r="41" customFormat="false" ht="16.4" hidden="false" customHeight="false" outlineLevel="0" collapsed="false">
      <c r="B41" s="35" t="s">
        <v>133</v>
      </c>
      <c r="C41" s="36" t="str">
        <f aca="false">_xlfn.XLOOKUP(D41,'Tiến độ Test'!C:C,'Tiến độ Test'!B:B,"Không tìm thấy")</f>
        <v>Không tìm thấy</v>
      </c>
      <c r="D41" s="36"/>
      <c r="E41" s="36"/>
      <c r="F41" s="37"/>
      <c r="G41" s="38"/>
      <c r="H41" s="39"/>
      <c r="I41" s="36"/>
      <c r="J41" s="37"/>
      <c r="K41" s="37"/>
      <c r="L41" s="40"/>
    </row>
    <row r="42" customFormat="false" ht="16.4" hidden="false" customHeight="false" outlineLevel="0" collapsed="false">
      <c r="B42" s="35" t="s">
        <v>134</v>
      </c>
      <c r="C42" s="36" t="str">
        <f aca="false">_xlfn.XLOOKUP(D42,'Tiến độ Test'!C:C,'Tiến độ Test'!B:B,"Không tìm thấy")</f>
        <v>Không tìm thấy</v>
      </c>
      <c r="D42" s="36"/>
      <c r="E42" s="36"/>
      <c r="F42" s="37"/>
      <c r="G42" s="38"/>
      <c r="H42" s="39"/>
      <c r="I42" s="36"/>
      <c r="J42" s="37"/>
      <c r="K42" s="37"/>
      <c r="L42" s="40"/>
    </row>
    <row r="43" customFormat="false" ht="16.4" hidden="false" customHeight="false" outlineLevel="0" collapsed="false">
      <c r="B43" s="35" t="s">
        <v>135</v>
      </c>
      <c r="C43" s="36" t="str">
        <f aca="false">_xlfn.XLOOKUP(D43,'Tiến độ Test'!C:C,'Tiến độ Test'!B:B,"Không tìm thấy")</f>
        <v>Không tìm thấy</v>
      </c>
      <c r="D43" s="36"/>
      <c r="E43" s="36"/>
      <c r="F43" s="37"/>
      <c r="G43" s="38"/>
      <c r="H43" s="39"/>
      <c r="I43" s="36"/>
      <c r="J43" s="37"/>
      <c r="K43" s="37"/>
      <c r="L43" s="40"/>
    </row>
    <row r="44" customFormat="false" ht="16.4" hidden="false" customHeight="false" outlineLevel="0" collapsed="false">
      <c r="B44" s="35" t="s">
        <v>136</v>
      </c>
      <c r="C44" s="36" t="str">
        <f aca="false">_xlfn.XLOOKUP(D44,'Tiến độ Test'!C:C,'Tiến độ Test'!B:B,"Không tìm thấy")</f>
        <v>Không tìm thấy</v>
      </c>
      <c r="D44" s="36"/>
      <c r="E44" s="36"/>
      <c r="F44" s="37"/>
      <c r="G44" s="38"/>
      <c r="H44" s="39"/>
      <c r="I44" s="36"/>
      <c r="J44" s="37"/>
      <c r="K44" s="37"/>
      <c r="L44" s="40"/>
    </row>
    <row r="45" customFormat="false" ht="16.4" hidden="false" customHeight="false" outlineLevel="0" collapsed="false">
      <c r="B45" s="35" t="s">
        <v>137</v>
      </c>
      <c r="C45" s="36" t="str">
        <f aca="false">_xlfn.XLOOKUP(D45,'Tiến độ Test'!C:C,'Tiến độ Test'!B:B,"Không tìm thấy")</f>
        <v>Không tìm thấy</v>
      </c>
      <c r="D45" s="36"/>
      <c r="E45" s="36"/>
      <c r="F45" s="37"/>
      <c r="G45" s="38"/>
      <c r="H45" s="39"/>
      <c r="I45" s="36"/>
      <c r="J45" s="37"/>
      <c r="K45" s="37"/>
      <c r="L45" s="40"/>
    </row>
    <row r="46" customFormat="false" ht="16.4" hidden="false" customHeight="false" outlineLevel="0" collapsed="false">
      <c r="B46" s="35" t="s">
        <v>138</v>
      </c>
      <c r="C46" s="36" t="str">
        <f aca="false">_xlfn.XLOOKUP(D46,'Tiến độ Test'!C:C,'Tiến độ Test'!B:B,"Không tìm thấy")</f>
        <v>Không tìm thấy</v>
      </c>
      <c r="D46" s="36"/>
      <c r="E46" s="36"/>
      <c r="F46" s="37"/>
      <c r="G46" s="38"/>
      <c r="H46" s="39"/>
      <c r="I46" s="36"/>
      <c r="J46" s="37"/>
      <c r="K46" s="37"/>
      <c r="L46" s="40"/>
    </row>
    <row r="47" customFormat="false" ht="16.4" hidden="false" customHeight="false" outlineLevel="0" collapsed="false">
      <c r="B47" s="35" t="s">
        <v>139</v>
      </c>
      <c r="C47" s="36" t="str">
        <f aca="false">_xlfn.XLOOKUP(D47,'Tiến độ Test'!C:C,'Tiến độ Test'!B:B,"Không tìm thấy")</f>
        <v>Không tìm thấy</v>
      </c>
      <c r="D47" s="36"/>
      <c r="E47" s="36"/>
      <c r="F47" s="37"/>
      <c r="G47" s="38"/>
      <c r="H47" s="39"/>
      <c r="I47" s="36"/>
      <c r="J47" s="37"/>
      <c r="K47" s="37"/>
      <c r="L47" s="40"/>
    </row>
    <row r="48" customFormat="false" ht="16.4" hidden="false" customHeight="false" outlineLevel="0" collapsed="false">
      <c r="B48" s="35" t="s">
        <v>140</v>
      </c>
      <c r="C48" s="36" t="str">
        <f aca="false">_xlfn.XLOOKUP(D48,'Tiến độ Test'!C:C,'Tiến độ Test'!B:B,"Không tìm thấy")</f>
        <v>Không tìm thấy</v>
      </c>
      <c r="D48" s="36"/>
      <c r="E48" s="36"/>
      <c r="F48" s="37"/>
      <c r="G48" s="38"/>
      <c r="H48" s="39"/>
      <c r="I48" s="36"/>
      <c r="J48" s="37"/>
      <c r="K48" s="37"/>
      <c r="L48" s="40"/>
    </row>
    <row r="49" customFormat="false" ht="15" hidden="false" customHeight="false" outlineLevel="0" collapsed="false">
      <c r="B49" s="35"/>
      <c r="C49" s="36"/>
      <c r="D49" s="36"/>
      <c r="E49" s="36"/>
      <c r="F49" s="37"/>
      <c r="G49" s="38"/>
      <c r="H49" s="39"/>
      <c r="I49" s="36"/>
      <c r="J49" s="37"/>
      <c r="K49" s="37"/>
      <c r="L49" s="40"/>
    </row>
  </sheetData>
  <mergeCells count="4">
    <mergeCell ref="B1:E1"/>
    <mergeCell ref="F1:L1"/>
    <mergeCell ref="N2:O2"/>
    <mergeCell ref="P2:S2"/>
  </mergeCells>
  <dataValidations count="5">
    <dataValidation allowBlank="true" errorStyle="stop" operator="between" showDropDown="false" showErrorMessage="true" showInputMessage="true" sqref="H5:H49" type="list">
      <formula1>$F$2:$L$2</formula1>
      <formula2>0</formula2>
    </dataValidation>
    <dataValidation allowBlank="true" errorStyle="stop" operator="between" showDropDown="false" showErrorMessage="true" showInputMessage="true" sqref="I5:I49" type="list">
      <formula1>$N$3:$O$3</formula1>
      <formula2>0</formula2>
    </dataValidation>
    <dataValidation allowBlank="true" errorStyle="stop" operator="between" showDropDown="false" showErrorMessage="true" showInputMessage="true" sqref="J5:J49" type="list">
      <formula1>$P$3:$S$3</formula1>
      <formula2>0</formula2>
    </dataValidation>
    <dataValidation allowBlank="true" errorStyle="stop" operator="between" showDropDown="false" showErrorMessage="true" showInputMessage="true" sqref="G5:G49" type="list">
      <formula1>$B$2:$E$2</formula1>
      <formula2>0</formula2>
    </dataValidation>
    <dataValidation allowBlank="true" errorStyle="stop" operator="between" showDropDown="false" showErrorMessage="true" showInputMessage="true" sqref="D5:D48" type="list">
      <formula1>'Tiến độ Test'!$C$4:$C$13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2025-08-27T07:07:31Z</dcterms:created>
  <dc:creator>common dev4</dc:creator>
  <dc:description/>
  <dc:language>en-US</dc:language>
  <cp:lastModifiedBy/>
  <dcterms:modified xsi:type="dcterms:W3CDTF">2025-08-28T10:57:55Z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